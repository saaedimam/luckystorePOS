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<sst xmlns="http://schemas.openxmlformats.org/spreadsheetml/2006/main" count="97" uniqueCount="71">
  <si>
    <t>Item Name</t>
  </si>
  <si>
    <t>Category</t>
  </si>
  <si>
    <t>Sales Price</t>
  </si>
  <si>
    <t>Purchase Price</t>
  </si>
  <si>
    <t>MRP</t>
  </si>
  <si>
    <t>Opening Stock</t>
  </si>
  <si>
    <t>Low Stock</t>
  </si>
  <si>
    <t>Item Code</t>
  </si>
  <si>
    <t>Description</t>
  </si>
  <si>
    <t>Image_URL</t>
  </si>
  <si>
    <t>Energy Plus - Standard Pack</t>
  </si>
  <si>
    <t>Biscuits &amp; Cookies</t>
  </si>
  <si>
    <t>LS-000132</t>
  </si>
  <si>
    <t>Tip -Standard Pack</t>
  </si>
  <si>
    <t>LS-000133</t>
  </si>
  <si>
    <t>Digestive -Standard Pack</t>
  </si>
  <si>
    <t>LS-000134</t>
  </si>
  <si>
    <t>Nutty - Standard Pack</t>
  </si>
  <si>
    <t>LS-000135</t>
  </si>
  <si>
    <t>Solecti Cookies - Standard Pack</t>
  </si>
  <si>
    <t>LS-000136</t>
  </si>
  <si>
    <t>Orange Biscuit - Standard Pack</t>
  </si>
  <si>
    <t>LS-000137</t>
  </si>
  <si>
    <t>Chocolate Plus - Classic Pack</t>
  </si>
  <si>
    <t>LS-000138</t>
  </si>
  <si>
    <t>Milk Plus - Classic Pack</t>
  </si>
  <si>
    <t>LS-000139</t>
  </si>
  <si>
    <t>Hello Cookies - Classic Pack</t>
  </si>
  <si>
    <t>LS-000140</t>
  </si>
  <si>
    <t>Bourbon Cookies -Classic Pack</t>
  </si>
  <si>
    <t>LS-000141</t>
  </si>
  <si>
    <t>Energy Plus - Family Pack</t>
  </si>
  <si>
    <t>LS-000142</t>
  </si>
  <si>
    <t>Tip - Family Pack</t>
  </si>
  <si>
    <t>LS-000143</t>
  </si>
  <si>
    <t>Nutty - Family Pack</t>
  </si>
  <si>
    <t>LS-000144</t>
  </si>
  <si>
    <t>Milk Mary - Family Pack</t>
  </si>
  <si>
    <t>LS-000145</t>
  </si>
  <si>
    <t>Lexus - Family Pack</t>
  </si>
  <si>
    <t>LS-000146</t>
  </si>
  <si>
    <t>Orange Biscuit - Family Pack</t>
  </si>
  <si>
    <t>LS-000147</t>
  </si>
  <si>
    <t>Hello Cookies - Family Pack</t>
  </si>
  <si>
    <t>LS-000148</t>
  </si>
  <si>
    <t xml:space="preserve">Dry Cake </t>
  </si>
  <si>
    <t>LS-000149</t>
  </si>
  <si>
    <t>Foodie Masala Noodles 8 Pack</t>
  </si>
  <si>
    <t>Packaged Food</t>
  </si>
  <si>
    <t>LS-000150</t>
  </si>
  <si>
    <t>Foodie Masala Noodles 12 Pack</t>
  </si>
  <si>
    <t>LS-000151</t>
  </si>
  <si>
    <t>Pulse - Mango Masala</t>
  </si>
  <si>
    <t>Chocolates &amp; Candies</t>
  </si>
  <si>
    <t>LS-000152</t>
  </si>
  <si>
    <t>Kopi - Candy</t>
  </si>
  <si>
    <t>LS-000153</t>
  </si>
  <si>
    <t>LS-000154</t>
  </si>
  <si>
    <t>Knock Chocolate Cream</t>
  </si>
  <si>
    <t>LS-000155</t>
  </si>
  <si>
    <t>Knock Milk Cream</t>
  </si>
  <si>
    <t>LS-000156</t>
  </si>
  <si>
    <t>Knock Strawberry Cream</t>
  </si>
  <si>
    <t>LS-000157</t>
  </si>
  <si>
    <t>Toffeeto Chocolate</t>
  </si>
  <si>
    <t>LS-000158</t>
  </si>
  <si>
    <t>Volt Pencil Battery UM-3</t>
  </si>
  <si>
    <t>Electronics</t>
  </si>
  <si>
    <t>LS-000159</t>
  </si>
  <si>
    <t>Volt Pencil Battery UM-4</t>
  </si>
  <si>
    <t>LS-000160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</si>
</sst>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AB98D"/>
        <bgColor rgb="FF3AB9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7.5"/>
    <col customWidth="1" min="9" max="9" width="36.88"/>
    <col customWidth="1" min="10" max="10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</row>
    <row r="2">
      <c r="A2" s="5" t="s">
        <v>10</v>
      </c>
      <c r="B2" s="5" t="s">
        <v>11</v>
      </c>
      <c r="C2" s="6">
        <v>15.0</v>
      </c>
      <c r="D2" s="7">
        <v>13.0</v>
      </c>
      <c r="E2" s="6">
        <v>15.0</v>
      </c>
      <c r="F2" s="8">
        <v>24.0</v>
      </c>
      <c r="G2" s="5">
        <f t="shared" ref="G2:G30" si="1">F2*50%</f>
        <v>12</v>
      </c>
      <c r="H2" s="9" t="s">
        <v>12</v>
      </c>
      <c r="I2" s="10" t="str">
        <f>IFERROR(__xludf.DUMMYFUNCTION("AI(""Write a short product description under 300 characters for "" &amp; A2 &amp; "" in the "" &amp; B2 &amp; "" category"")"),"Enjoy a delicious boost with Energy Plus Standard Pack. These crunchy, golden-baked biscuits are the perfect snack for any time of day, offering a satisfying taste and a quick energy lift in every bite. Ideal for pairing with tea or coffee.")</f>
        <v>Enjoy a delicious boost with Energy Plus Standard Pack. These crunchy, golden-baked biscuits are the perfect snack for any time of day, offering a satisfying taste and a quick energy lift in every bite. Ideal for pairing with tea or coffee.</v>
      </c>
      <c r="J2" s="6"/>
    </row>
    <row r="3">
      <c r="A3" s="5" t="s">
        <v>13</v>
      </c>
      <c r="B3" s="5" t="s">
        <v>11</v>
      </c>
      <c r="C3" s="6">
        <v>15.0</v>
      </c>
      <c r="D3" s="7">
        <v>13.0</v>
      </c>
      <c r="E3" s="6">
        <v>15.0</v>
      </c>
      <c r="F3" s="8">
        <v>24.0</v>
      </c>
      <c r="G3" s="5">
        <f t="shared" si="1"/>
        <v>12</v>
      </c>
      <c r="H3" s="9" t="s">
        <v>14</v>
      </c>
      <c r="I3" s="10" t="str">
        <f>IFERROR(__xludf.DUMMYFUNCTION("AI(""Write a short product description under 300 characters for "" &amp; A3 &amp; "" in the "" &amp; B3 &amp; "" category"")"),"Experience the perfect crunch with Tip Standard Pack. These delightful biscuits offer a classic, balanced sweetness and a crisp texture that makes them an ideal companion for your tea or coffee. A simple, satisfying snack for any time of day.")</f>
        <v>Experience the perfect crunch with Tip Standard Pack. These delightful biscuits offer a classic, balanced sweetness and a crisp texture that makes them an ideal companion for your tea or coffee. A simple, satisfying snack for any time of day.</v>
      </c>
      <c r="J3" s="5"/>
    </row>
    <row r="4">
      <c r="A4" s="5" t="s">
        <v>15</v>
      </c>
      <c r="B4" s="5" t="s">
        <v>11</v>
      </c>
      <c r="C4" s="6">
        <v>30.0</v>
      </c>
      <c r="D4" s="7">
        <v>25.0</v>
      </c>
      <c r="E4" s="6">
        <v>30.0</v>
      </c>
      <c r="F4" s="8">
        <v>36.0</v>
      </c>
      <c r="G4" s="5">
        <f t="shared" si="1"/>
        <v>18</v>
      </c>
      <c r="H4" s="9" t="s">
        <v>16</v>
      </c>
      <c r="I4" s="10" t="str">
        <f>IFERROR(__xludf.DUMMYFUNCTION("AI(""Write a short product description under 300 characters for "" &amp; A4 &amp; "" in the "" &amp; B4 &amp; "" category"")"),"Enjoy the wholesome crunch of Digestive Standard Pack biscuits. These fiber-rich, golden-baked treats offer a satisfying taste in every bite, making them the perfect healthy snack for any time of day. Ideal for pairing with your tea or coffee.")</f>
        <v>Enjoy the wholesome crunch of Digestive Standard Pack biscuits. These fiber-rich, golden-baked treats offer a satisfying taste in every bite, making them the perfect healthy snack for any time of day. Ideal for pairing with your tea or coffee.</v>
      </c>
    </row>
    <row r="5">
      <c r="A5" s="5" t="s">
        <v>17</v>
      </c>
      <c r="B5" s="5" t="s">
        <v>11</v>
      </c>
      <c r="C5" s="6">
        <v>15.0</v>
      </c>
      <c r="D5" s="7">
        <v>13.0</v>
      </c>
      <c r="E5" s="6">
        <v>15.0</v>
      </c>
      <c r="F5" s="8">
        <v>24.0</v>
      </c>
      <c r="G5" s="5">
        <f t="shared" si="1"/>
        <v>12</v>
      </c>
      <c r="H5" s="9" t="s">
        <v>18</v>
      </c>
      <c r="I5" s="10" t="str">
        <f>IFERROR(__xludf.DUMMYFUNCTION("AI(""Write a short product description under 300 characters for "" &amp; A5 &amp; "" in the "" &amp; B5 &amp; "" category"")"),"Indulge in the rich, crunchy flavor of Nutty Standard Pack. These delicious biscuits are packed with a satisfying nutty taste and baked to a perfect golden crisp, making them the ideal snack for any time of day or pairing with your favorite beverage.")</f>
        <v>Indulge in the rich, crunchy flavor of Nutty Standard Pack. These delicious biscuits are packed with a satisfying nutty taste and baked to a perfect golden crisp, making them the ideal snack for any time of day or pairing with your favorite beverage.</v>
      </c>
    </row>
    <row r="6">
      <c r="A6" s="5" t="s">
        <v>19</v>
      </c>
      <c r="B6" s="5" t="s">
        <v>11</v>
      </c>
      <c r="C6" s="6">
        <v>20.0</v>
      </c>
      <c r="D6" s="7">
        <v>16.0</v>
      </c>
      <c r="E6" s="6">
        <v>20.0</v>
      </c>
      <c r="F6" s="8">
        <v>24.0</v>
      </c>
      <c r="G6" s="5">
        <f t="shared" si="1"/>
        <v>12</v>
      </c>
      <c r="H6" s="9" t="s">
        <v>20</v>
      </c>
      <c r="I6" s="10" t="str">
        <f>IFERROR(__xludf.DUMMYFUNCTION("AI(""Write a short product description under 300 characters for "" &amp; A6 &amp; "" in the "" &amp; B6 &amp; "" category"")"),"Enjoy the rich, buttery flavor of Solecti Cookies. These crisp, golden-baked biscuits are the perfect treat for any time of day, offering a satisfying crunch in every bite. Perfectly portioned in a standard pack, they are ideal for pairing with your favor"&amp;"ite hot beverage.")</f>
        <v>Enjoy the rich, buttery flavor of Solecti Cookies. These crisp, golden-baked biscuits are the perfect treat for any time of day, offering a satisfying crunch in every bite. Perfectly portioned in a standard pack, they are ideal for pairing with your favorite hot beverage.</v>
      </c>
    </row>
    <row r="7">
      <c r="A7" s="5" t="s">
        <v>21</v>
      </c>
      <c r="B7" s="5" t="s">
        <v>11</v>
      </c>
      <c r="C7" s="6">
        <v>5.0</v>
      </c>
      <c r="D7" s="7">
        <v>4.0</v>
      </c>
      <c r="E7" s="6">
        <v>5.0</v>
      </c>
      <c r="F7" s="8">
        <v>24.0</v>
      </c>
      <c r="G7" s="5">
        <f t="shared" si="1"/>
        <v>12</v>
      </c>
      <c r="H7" s="9" t="s">
        <v>22</v>
      </c>
      <c r="I7" s="10" t="str">
        <f>IFERROR(__xludf.DUMMYFUNCTION("AI(""Write a short product description under 300 characters for "" &amp; A7 &amp; "" in the "" &amp; B7 &amp; "" category"")"),"Savor the zest with our Orange Biscuit Standard Pack. These crisp, golden biscuits are infused with a refreshing citrus flavor, making them a delightful snack for any time of day. Perfectly balanced and crunchy, they are ideal for sharing or enjoying with"&amp;" your favorite beverage.")</f>
        <v>Savor the zest with our Orange Biscuit Standard Pack. These crisp, golden biscuits are infused with a refreshing citrus flavor, making them a delightful snack for any time of day. Perfectly balanced and crunchy, they are ideal for sharing or enjoying with your favorite beverage.</v>
      </c>
    </row>
    <row r="8">
      <c r="A8" s="5" t="s">
        <v>23</v>
      </c>
      <c r="B8" s="5" t="s">
        <v>11</v>
      </c>
      <c r="C8" s="6">
        <v>10.0</v>
      </c>
      <c r="D8" s="7">
        <v>8.0</v>
      </c>
      <c r="E8" s="6">
        <v>10.0</v>
      </c>
      <c r="F8" s="8">
        <v>24.0</v>
      </c>
      <c r="G8" s="5">
        <f t="shared" si="1"/>
        <v>12</v>
      </c>
      <c r="H8" s="9" t="s">
        <v>24</v>
      </c>
      <c r="I8" s="10" t="str">
        <f>IFERROR(__xludf.DUMMYFUNCTION("AI(""Write a short product description under 300 characters for "" &amp; A8 &amp; "" in the "" &amp; B8 &amp; "" category"")"),"Indulge in the rich flavor of Chocolate Plus Classic Pack. These crunchy biscuits are infused with premium cocoa for a satisfying chocolate treat. Perfectly baked and ideal for snacking or pairing with your favorite hot drink.")</f>
        <v>Indulge in the rich flavor of Chocolate Plus Classic Pack. These crunchy biscuits are infused with premium cocoa for a satisfying chocolate treat. Perfectly baked and ideal for snacking or pairing with your favorite hot drink.</v>
      </c>
    </row>
    <row r="9">
      <c r="A9" s="5" t="s">
        <v>25</v>
      </c>
      <c r="B9" s="5" t="s">
        <v>11</v>
      </c>
      <c r="C9" s="6">
        <v>10.0</v>
      </c>
      <c r="D9" s="7">
        <v>8.0</v>
      </c>
      <c r="E9" s="6">
        <v>10.0</v>
      </c>
      <c r="F9" s="8">
        <v>24.0</v>
      </c>
      <c r="G9" s="5">
        <f t="shared" si="1"/>
        <v>12</v>
      </c>
      <c r="H9" s="9" t="s">
        <v>26</v>
      </c>
      <c r="I9" s="10" t="str">
        <f>IFERROR(__xludf.DUMMYFUNCTION("AI(""Write a short product description under 300 characters for "" &amp; A9 &amp; "" in the "" &amp; B9 &amp; "" category"")"),"Savor the rich, creamy flavor of Milk Plus Classic Pack. These crisp, golden-baked biscuits are made with quality milk for a nostalgic taste. Perfectly sweet and satisfying, they are the ideal snack to pair with your favorite tea or coffee.")</f>
        <v>Savor the rich, creamy flavor of Milk Plus Classic Pack. These crisp, golden-baked biscuits are made with quality milk for a nostalgic taste. Perfectly sweet and satisfying, they are the ideal snack to pair with your favorite tea or coffee.</v>
      </c>
    </row>
    <row r="10">
      <c r="A10" s="5" t="s">
        <v>27</v>
      </c>
      <c r="B10" s="5" t="s">
        <v>11</v>
      </c>
      <c r="C10" s="6">
        <v>10.0</v>
      </c>
      <c r="D10" s="7">
        <v>8.0</v>
      </c>
      <c r="E10" s="6">
        <v>10.0</v>
      </c>
      <c r="F10" s="8">
        <v>24.0</v>
      </c>
      <c r="G10" s="5">
        <f t="shared" si="1"/>
        <v>12</v>
      </c>
      <c r="H10" s="9" t="s">
        <v>28</v>
      </c>
      <c r="I10" s="10" t="str">
        <f>IFERROR(__xludf.DUMMYFUNCTION("AI(""Write a short product description under 300 characters for "" &amp; A10 &amp; "" in the "" &amp; B10 &amp; "" category"")"),"Delight in the fun and crunch of Hello Cookies Classic Pack. These bite-sized biscuits feature a crisp shell with a smooth, creamy filling. Perfect for snacking on the go, school lunches, or pairing with your favorite beverage. A sweet treat that brings a"&amp;" smile to every bite.")</f>
        <v>Delight in the fun and crunch of Hello Cookies Classic Pack. These bite-sized biscuits feature a crisp shell with a smooth, creamy filling. Perfect for snacking on the go, school lunches, or pairing with your favorite beverage. A sweet treat that brings a smile to every bite.</v>
      </c>
    </row>
    <row r="11">
      <c r="A11" s="5" t="s">
        <v>29</v>
      </c>
      <c r="B11" s="5" t="s">
        <v>11</v>
      </c>
      <c r="C11" s="6">
        <v>130.0</v>
      </c>
      <c r="D11" s="7">
        <v>115.0</v>
      </c>
      <c r="E11" s="6">
        <v>150.0</v>
      </c>
      <c r="F11" s="8">
        <v>8.0</v>
      </c>
      <c r="G11" s="5">
        <f t="shared" si="1"/>
        <v>4</v>
      </c>
      <c r="H11" s="9" t="s">
        <v>30</v>
      </c>
      <c r="I11" s="10" t="str">
        <f>IFERROR(__xludf.DUMMYFUNCTION("AI(""Write a short product description under 300 characters for "" &amp; A11 &amp; "" in the "" &amp; B11 &amp; "" category"")"),"A timeless British classic, the Bourbon Cookies Classic Pack features two crisp, dark chocolate-flavored biscuits with a smooth chocolate buttercream filling. Perfect for dunking in tea or as a decadent snack, these elegant sandwich biscuits offer a rich,"&amp;" satisfying chocolate experience.")</f>
        <v>A timeless British classic, the Bourbon Cookies Classic Pack features two crisp, dark chocolate-flavored biscuits with a smooth chocolate buttercream filling. Perfect for dunking in tea or as a decadent snack, these elegant sandwich biscuits offer a rich, satisfying chocolate experience.</v>
      </c>
    </row>
    <row r="12">
      <c r="A12" s="5" t="s">
        <v>31</v>
      </c>
      <c r="B12" s="5" t="s">
        <v>11</v>
      </c>
      <c r="C12" s="6">
        <v>50.0</v>
      </c>
      <c r="D12" s="7">
        <v>42.0</v>
      </c>
      <c r="E12" s="6">
        <v>50.0</v>
      </c>
      <c r="F12" s="8">
        <v>9.0</v>
      </c>
      <c r="G12" s="5">
        <f t="shared" si="1"/>
        <v>4.5</v>
      </c>
      <c r="H12" s="9" t="s">
        <v>32</v>
      </c>
      <c r="I12" s="10" t="str">
        <f>IFERROR(__xludf.DUMMYFUNCTION("AI(""Write a short product description under 300 characters for "" &amp; A12 &amp; "" in the "" &amp; B12 &amp; "" category"")"),"Fuel your day with the Energy Plus Family Pack. These crunchy, golden-baked biscuits offer a delicious taste and an instant energy boost. Perfect for sharing, this value pack is an ideal snack for the whole family to enjoy with tea or on the go.")</f>
        <v>Fuel your day with the Energy Plus Family Pack. These crunchy, golden-baked biscuits offer a delicious taste and an instant energy boost. Perfect for sharing, this value pack is an ideal snack for the whole family to enjoy with tea or on the go.</v>
      </c>
    </row>
    <row r="13">
      <c r="A13" s="5" t="s">
        <v>33</v>
      </c>
      <c r="B13" s="5" t="s">
        <v>11</v>
      </c>
      <c r="C13" s="6">
        <v>60.0</v>
      </c>
      <c r="D13" s="7">
        <v>50.0</v>
      </c>
      <c r="E13" s="6">
        <v>60.0</v>
      </c>
      <c r="F13" s="8">
        <v>8.0</v>
      </c>
      <c r="G13" s="5">
        <f t="shared" si="1"/>
        <v>4</v>
      </c>
      <c r="H13" s="9" t="s">
        <v>34</v>
      </c>
      <c r="I13" s="10" t="str">
        <f>IFERROR(__xludf.DUMMYFUNCTION("AI(""Write a short product description under 300 characters for "" &amp; A13 &amp; "" in the "" &amp; B13 &amp; "" category"")"),"Enjoy the classic taste of Tip biscuits in a convenient Family Pack. These crispy, golden-baked treats offer a perfect balance of sweetness and crunch, making them an ideal snack for sharing with loved ones during tea time or any occasion. Succulent, sati"&amp;"sfying, and loved by all ages.")</f>
        <v>Enjoy the classic taste of Tip biscuits in a convenient Family Pack. These crispy, golden-baked treats offer a perfect balance of sweetness and crunch, making them an ideal snack for sharing with loved ones during tea time or any occasion. Succulent, satisfying, and loved by all ages.</v>
      </c>
    </row>
    <row r="14">
      <c r="A14" s="5" t="s">
        <v>35</v>
      </c>
      <c r="B14" s="5" t="s">
        <v>11</v>
      </c>
      <c r="C14" s="6">
        <v>50.0</v>
      </c>
      <c r="D14" s="7">
        <v>42.0</v>
      </c>
      <c r="E14" s="6">
        <v>50.0</v>
      </c>
      <c r="F14" s="8">
        <v>8.0</v>
      </c>
      <c r="G14" s="5">
        <f t="shared" si="1"/>
        <v>4</v>
      </c>
      <c r="H14" s="9" t="s">
        <v>36</v>
      </c>
      <c r="I14" s="10" t="str">
        <f>IFERROR(__xludf.DUMMYFUNCTION("AI(""Write a short product description under 300 characters for "" &amp; A14 &amp; "" in the "" &amp; B14 &amp; "" category"")"),"Indulge in the crunchy, nutty goodness of the Nutty Family Pack. Perfect for sharing, these premium biscuits offer a delightful blend of roasted nuts and golden-baked crunch. Ideal for family snack time or as a treat with your favorite beverage. Enjoy a w"&amp;"holesome bite in every cookie.")</f>
        <v>Indulge in the crunchy, nutty goodness of the Nutty Family Pack. Perfect for sharing, these premium biscuits offer a delightful blend of roasted nuts and golden-baked crunch. Ideal for family snack time or as a treat with your favorite beverage. Enjoy a wholesome bite in every cookie.</v>
      </c>
    </row>
    <row r="15">
      <c r="A15" s="5" t="s">
        <v>37</v>
      </c>
      <c r="B15" s="5" t="s">
        <v>11</v>
      </c>
      <c r="C15" s="6">
        <v>50.0</v>
      </c>
      <c r="D15" s="7">
        <v>42.0</v>
      </c>
      <c r="E15" s="6">
        <v>50.0</v>
      </c>
      <c r="F15" s="8">
        <v>8.0</v>
      </c>
      <c r="G15" s="5">
        <f t="shared" si="1"/>
        <v>4</v>
      </c>
      <c r="H15" s="9" t="s">
        <v>38</v>
      </c>
      <c r="I15" s="10" t="str">
        <f>IFERROR(__xludf.DUMMYFUNCTION("AI(""Write a short product description under 300 characters for "" &amp; A15 &amp; "" in the "" &amp; B15 &amp; "" category"")"),"Enjoy the creamy, wholesome taste of Milk Mary Family Pack. These crispy, milk-enriched biscuits are the perfect treat for the whole family, offering a delightful crunch and satisfying flavor in every bite. Ideal for tea time or on-the-go snacking.")</f>
        <v>Enjoy the creamy, wholesome taste of Milk Mary Family Pack. These crispy, milk-enriched biscuits are the perfect treat for the whole family, offering a delightful crunch and satisfying flavor in every bite. Ideal for tea time or on-the-go snacking.</v>
      </c>
    </row>
    <row r="16">
      <c r="A16" s="5" t="s">
        <v>39</v>
      </c>
      <c r="B16" s="5" t="s">
        <v>11</v>
      </c>
      <c r="C16" s="6">
        <v>25.0</v>
      </c>
      <c r="D16" s="7">
        <v>20.0</v>
      </c>
      <c r="E16" s="6">
        <v>100.0</v>
      </c>
      <c r="F16" s="8">
        <v>70.0</v>
      </c>
      <c r="G16" s="5">
        <f t="shared" si="1"/>
        <v>35</v>
      </c>
      <c r="H16" s="9" t="s">
        <v>40</v>
      </c>
      <c r="I16" s="10" t="str">
        <f>IFERROR(__xludf.DUMMYFUNCTION("AI(""Write a short product description under 300 characters for "" &amp; A16 &amp; "" in the "" &amp; B16 &amp; "" category"")"),"Lexus Family Pack offers a delightful crunch and classic taste in every bite. Perfectly sized for sharing, these premium biscuits are the ideal snack for tea time or any family gathering. Enjoy a satisfying, light treat that everyone will love.")</f>
        <v>Lexus Family Pack offers a delightful crunch and classic taste in every bite. Perfectly sized for sharing, these premium biscuits are the ideal snack for tea time or any family gathering. Enjoy a satisfying, light treat that everyone will love.</v>
      </c>
    </row>
    <row r="17">
      <c r="A17" s="5" t="s">
        <v>41</v>
      </c>
      <c r="B17" s="5" t="s">
        <v>11</v>
      </c>
      <c r="C17" s="6">
        <v>40.0</v>
      </c>
      <c r="D17" s="7">
        <v>33.0</v>
      </c>
      <c r="E17" s="6">
        <v>40.0</v>
      </c>
      <c r="F17" s="8">
        <v>6.0</v>
      </c>
      <c r="G17" s="5">
        <f t="shared" si="1"/>
        <v>3</v>
      </c>
      <c r="H17" s="9" t="s">
        <v>42</v>
      </c>
      <c r="I17" s="10" t="str">
        <f>IFERROR(__xludf.DUMMYFUNCTION("AI(""Write a short product description under 300 characters for "" &amp; A17 &amp; "" in the "" &amp; B17 &amp; "" category"")"),"Brighten your snack time with our Orange Biscuit Family Pack. These crunchy biscuits feature a zesty orange flavor that everyone will love. Perfect for sharing at home, with tea, or on the go, they offer a refreshing citrus twist in every delicious bite. "&amp;"Ideal for any occasion!")</f>
        <v>Brighten your snack time with our Orange Biscuit Family Pack. These crunchy biscuits feature a zesty orange flavor that everyone will love. Perfect for sharing at home, with tea, or on the go, they offer a refreshing citrus twist in every delicious bite. Ideal for any occasion!</v>
      </c>
    </row>
    <row r="18">
      <c r="A18" s="5" t="s">
        <v>43</v>
      </c>
      <c r="B18" s="5" t="s">
        <v>11</v>
      </c>
      <c r="C18" s="6">
        <v>50.0</v>
      </c>
      <c r="D18" s="7">
        <v>42.0</v>
      </c>
      <c r="E18" s="6">
        <v>50.0</v>
      </c>
      <c r="F18" s="8">
        <v>8.0</v>
      </c>
      <c r="G18" s="5">
        <f t="shared" si="1"/>
        <v>4</v>
      </c>
      <c r="H18" s="9" t="s">
        <v>44</v>
      </c>
      <c r="I18" s="10" t="str">
        <f>IFERROR(__xludf.DUMMYFUNCTION("AI(""Write a short product description under 300 characters for "" &amp; A18 &amp; "" in the "" &amp; B18 &amp; "" category"")"),"Share the joy with Hello Cookies Family Pack. These delightfully crisp and sweet biscuits are perfect for sharing with loved ones. Whether it is a tea-time treat or a lunchbox snack, these cookies offer a classic, comforting taste that everyone will love."&amp;" Perfect for any occasion.")</f>
        <v>Share the joy with Hello Cookies Family Pack. These delightfully crisp and sweet biscuits are perfect for sharing with loved ones. Whether it is a tea-time treat or a lunchbox snack, these cookies offer a classic, comforting taste that everyone will love. Perfect for any occasion.</v>
      </c>
    </row>
    <row r="19">
      <c r="A19" s="5" t="s">
        <v>45</v>
      </c>
      <c r="B19" s="5" t="s">
        <v>11</v>
      </c>
      <c r="C19" s="6">
        <v>130.0</v>
      </c>
      <c r="D19" s="7">
        <v>126.0</v>
      </c>
      <c r="E19" s="6">
        <v>150.0</v>
      </c>
      <c r="F19" s="8">
        <v>6.0</v>
      </c>
      <c r="G19" s="5">
        <f t="shared" si="1"/>
        <v>3</v>
      </c>
      <c r="H19" s="9" t="s">
        <v>46</v>
      </c>
      <c r="I19" s="10" t="str">
        <f>IFERROR(__xludf.DUMMYFUNCTION("AI(""Write a short product description under 300 characters for "" &amp; A19 &amp; "" in the "" &amp; B19 &amp; "" category"")"),"Indulge in our classic Dry Cake, a double-baked biscuit with a satisfyingly light and crunchy texture. Perfectly sweet and golden, these crisp slices are the ultimate companion for your daily tea or coffee. Enjoy a wholesome, nostalgic treat in every bite"&amp;".")</f>
        <v>Indulge in our classic Dry Cake, a double-baked biscuit with a satisfyingly light and crunchy texture. Perfectly sweet and golden, these crisp slices are the ultimate companion for your daily tea or coffee. Enjoy a wholesome, nostalgic treat in every bite.</v>
      </c>
    </row>
    <row r="20">
      <c r="A20" s="5" t="s">
        <v>47</v>
      </c>
      <c r="B20" s="5" t="s">
        <v>48</v>
      </c>
      <c r="C20" s="6">
        <v>120.0</v>
      </c>
      <c r="D20" s="7">
        <v>105.0</v>
      </c>
      <c r="E20" s="6">
        <v>120.0</v>
      </c>
      <c r="F20" s="8">
        <v>12.0</v>
      </c>
      <c r="G20" s="5">
        <f t="shared" si="1"/>
        <v>6</v>
      </c>
      <c r="H20" s="9" t="s">
        <v>49</v>
      </c>
      <c r="I20" s="10" t="str">
        <f>IFERROR(__xludf.DUMMYFUNCTION("AI(""Write a short product description under 300 characters for "" &amp; A20 &amp; "" in the "" &amp; B20 &amp; "" category"")"),"Enjoy the irresistible taste of Foodie Masala Noodles 8 Pack. Perfectly seasoned with authentic spices like turmeric and ginger, these quick-cooking noodles offer a delicious and satisfying snack or light meal in minutes. Ideal for busy families looking f"&amp;"or a flavorful, convenient option.")</f>
        <v>Enjoy the irresistible taste of Foodie Masala Noodles 8 Pack. Perfectly seasoned with authentic spices like turmeric and ginger, these quick-cooking noodles offer a delicious and satisfying snack or light meal in minutes. Ideal for busy families looking for a flavorful, convenient option.</v>
      </c>
    </row>
    <row r="21">
      <c r="A21" s="5" t="s">
        <v>50</v>
      </c>
      <c r="B21" s="5" t="s">
        <v>48</v>
      </c>
      <c r="C21" s="6">
        <v>170.0</v>
      </c>
      <c r="D21" s="7">
        <v>154.0</v>
      </c>
      <c r="E21" s="6">
        <v>170.0</v>
      </c>
      <c r="F21" s="8">
        <v>8.0</v>
      </c>
      <c r="G21" s="5">
        <f t="shared" si="1"/>
        <v>4</v>
      </c>
      <c r="H21" s="9" t="s">
        <v>51</v>
      </c>
      <c r="I21" s="10" t="str">
        <f>IFERROR(__xludf.DUMMYFUNCTION("AI(""Write a short product description under 300 characters for "" &amp; A21 &amp; "" in the "" &amp; B21 &amp; "" category"")"),"Experience the bold, savory taste of Foodie Masala Noodles. This 12-pack offers a quick and delicious meal solution, featuring perfectly seasoned noodles with a classic masala spice blend. Ideal for busy days and satisfying snack times.")</f>
        <v>Experience the bold, savory taste of Foodie Masala Noodles. This 12-pack offers a quick and delicious meal solution, featuring perfectly seasoned noodles with a classic masala spice blend. Ideal for busy days and satisfying snack times.</v>
      </c>
    </row>
    <row r="22">
      <c r="A22" s="5" t="s">
        <v>52</v>
      </c>
      <c r="B22" s="5" t="s">
        <v>53</v>
      </c>
      <c r="C22" s="6">
        <v>350.0</v>
      </c>
      <c r="D22" s="7">
        <v>300.0</v>
      </c>
      <c r="E22" s="6">
        <v>2.0</v>
      </c>
      <c r="F22" s="8">
        <v>1.0</v>
      </c>
      <c r="G22" s="5">
        <f t="shared" si="1"/>
        <v>0.5</v>
      </c>
      <c r="H22" s="9" t="s">
        <v>54</v>
      </c>
      <c r="I22" s="10" t="str">
        <f>IFERROR(__xludf.DUMMYFUNCTION("AI(""Write a short product description under 300 characters for "" &amp; A22 &amp; "" in the "" &amp; B22 &amp; "" category"")"),"Experience a flavor explosion with Pulse Mango Masala candy. This hard-boiled treat captures the tangy essence of raw mango with a secret salty and spicy masala center. It is the perfect blend of sweet, sour, and zingy flavors that will leave you wanting "&amp;"more.")</f>
        <v>Experience a flavor explosion with Pulse Mango Masala candy. This hard-boiled treat captures the tangy essence of raw mango with a secret salty and spicy masala center. It is the perfect blend of sweet, sour, and zingy flavors that will leave you wanting more.</v>
      </c>
    </row>
    <row r="23">
      <c r="A23" s="5" t="s">
        <v>55</v>
      </c>
      <c r="B23" s="5" t="s">
        <v>53</v>
      </c>
      <c r="C23" s="6">
        <v>350.0</v>
      </c>
      <c r="D23" s="7">
        <v>300.0</v>
      </c>
      <c r="E23" s="6">
        <v>2.0</v>
      </c>
      <c r="F23" s="8">
        <v>1.0</v>
      </c>
      <c r="G23" s="5">
        <f t="shared" si="1"/>
        <v>0.5</v>
      </c>
      <c r="H23" s="9" t="s">
        <v>56</v>
      </c>
      <c r="I23" s="10" t="str">
        <f>IFERROR(__xludf.DUMMYFUNCTION("AI(""Write a short product description under 300 characters for "" &amp; A23 &amp; "" in the "" &amp; B23 &amp; "" category"")"),"Indulge in the rich, authentic taste of real coffee with Kopi Candy. These smooth, aromatic treats capture the essence of a freshly brewed cup in a convenient candy form. Perfect for coffee lovers seeking a sweet, caffeinated pick-me-up any time of the da"&amp;"y.")</f>
        <v>Indulge in the rich, authentic taste of real coffee with Kopi Candy. These smooth, aromatic treats capture the essence of a freshly brewed cup in a convenient candy form. Perfect for coffee lovers seeking a sweet, caffeinated pick-me-up any time of the day.</v>
      </c>
    </row>
    <row r="24">
      <c r="A24" s="5" t="s">
        <v>52</v>
      </c>
      <c r="B24" s="5" t="s">
        <v>53</v>
      </c>
      <c r="C24" s="6">
        <v>8.0</v>
      </c>
      <c r="D24" s="7">
        <v>6.0</v>
      </c>
      <c r="F24" s="8">
        <v>75.0</v>
      </c>
      <c r="G24" s="5">
        <f t="shared" si="1"/>
        <v>37.5</v>
      </c>
      <c r="H24" s="9" t="s">
        <v>57</v>
      </c>
      <c r="I24" s="10" t="str">
        <f>IFERROR(__xludf.DUMMYFUNCTION("AI(""Write a short product description under 300 characters for "" &amp; A24 &amp; "" in the "" &amp; B24 &amp; "" category"")"),"Experience the unique taste of Pulse Mango Masala. This hard-boiled candy combines the sweet, tangy flavor of raw mango with a surprise spicy masala center. Perfect for those who love a zesty, flavorful treat that balances sweet and sour notes in every bi"&amp;"te.")</f>
        <v>Experience the unique taste of Pulse Mango Masala. This hard-boiled candy combines the sweet, tangy flavor of raw mango with a surprise spicy masala center. Perfect for those who love a zesty, flavorful treat that balances sweet and sour notes in every bite.</v>
      </c>
    </row>
    <row r="25">
      <c r="A25" s="5" t="s">
        <v>58</v>
      </c>
      <c r="B25" s="5" t="s">
        <v>53</v>
      </c>
      <c r="C25" s="6">
        <v>800.0</v>
      </c>
      <c r="D25" s="7">
        <v>741.0</v>
      </c>
      <c r="E25" s="6">
        <v>15.0</v>
      </c>
      <c r="F25" s="8">
        <v>1.0</v>
      </c>
      <c r="G25" s="5">
        <f t="shared" si="1"/>
        <v>0.5</v>
      </c>
      <c r="H25" s="9" t="s">
        <v>59</v>
      </c>
      <c r="I25" s="10" t="str">
        <f>IFERROR(__xludf.DUMMYFUNCTION("AI(""Write a short product description under 300 characters for "" &amp; A25 &amp; "" in the "" &amp; B25 &amp; "" category"")"),"Indulge in Knock Chocolate Cream, a delectable treat from the Chocolates &amp; Candies category. This crispy wafer is coated in rich, velvety chocolate and filled with a smooth, luscious cream for a perfect blend of flavors. Ideal for sharing or satisfying yo"&amp;"ur sweet cravings anytime.")</f>
        <v>Indulge in Knock Chocolate Cream, a delectable treat from the Chocolates &amp; Candies category. This crispy wafer is coated in rich, velvety chocolate and filled with a smooth, luscious cream for a perfect blend of flavors. Ideal for sharing or satisfying your sweet cravings anytime.</v>
      </c>
    </row>
    <row r="26">
      <c r="A26" s="5" t="s">
        <v>60</v>
      </c>
      <c r="B26" s="5" t="s">
        <v>53</v>
      </c>
      <c r="C26" s="6">
        <v>800.0</v>
      </c>
      <c r="D26" s="7">
        <v>741.0</v>
      </c>
      <c r="E26" s="6">
        <v>15.0</v>
      </c>
      <c r="F26" s="8">
        <v>1.0</v>
      </c>
      <c r="G26" s="5">
        <f t="shared" si="1"/>
        <v>0.5</v>
      </c>
      <c r="H26" s="9" t="s">
        <v>61</v>
      </c>
      <c r="I26" s="10" t="str">
        <f>IFERROR(__xludf.DUMMYFUNCTION("AI(""Write a short product description under 300 characters for "" &amp; A26 &amp; "" in the "" &amp; B26 &amp; "" category"")"),"Indulge in the delicious crunch of Knock Milk Cream. This chocolate-coated wafer features a smooth, sweet milk cream filling, providing a perfect blend of flavors in every bite. A delectable treat for any time of day, perfect for satisfying your sweet cra"&amp;"vings.")</f>
        <v>Indulge in the delicious crunch of Knock Milk Cream. This chocolate-coated wafer features a smooth, sweet milk cream filling, providing a perfect blend of flavors in every bite. A delectable treat for any time of day, perfect for satisfying your sweet cravings.</v>
      </c>
    </row>
    <row r="27">
      <c r="A27" s="5" t="s">
        <v>62</v>
      </c>
      <c r="B27" s="5" t="s">
        <v>53</v>
      </c>
      <c r="C27" s="6">
        <v>800.0</v>
      </c>
      <c r="D27" s="7">
        <v>741.0</v>
      </c>
      <c r="E27" s="6">
        <v>15.0</v>
      </c>
      <c r="F27" s="8">
        <v>1.0</v>
      </c>
      <c r="G27" s="5">
        <f t="shared" si="1"/>
        <v>0.5</v>
      </c>
      <c r="H27" s="9" t="s">
        <v>63</v>
      </c>
      <c r="I27" s="10" t="str">
        <f>IFERROR(__xludf.DUMMYFUNCTION("AI(""Write a short product description under 300 characters for "" &amp; A27 &amp; "" in the "" &amp; B27 &amp; "" category"")"),"Indulge in the luscious taste of Knock Strawberry Cream. These delectable treats feature a smooth, fruity strawberry filling enveloped in rich chocolate, offering a perfect burst of sweetness. A delightful snack for any candy lover looking for a creamy, b"&amp;"erry-infused escape.")</f>
        <v>Indulge in the luscious taste of Knock Strawberry Cream. These delectable treats feature a smooth, fruity strawberry filling enveloped in rich chocolate, offering a perfect burst of sweetness. A delightful snack for any candy lover looking for a creamy, berry-infused escape.</v>
      </c>
    </row>
    <row r="28">
      <c r="A28" s="5" t="s">
        <v>64</v>
      </c>
      <c r="B28" s="5" t="s">
        <v>53</v>
      </c>
      <c r="C28" s="6">
        <v>450.0</v>
      </c>
      <c r="D28" s="7">
        <v>393.0</v>
      </c>
      <c r="F28" s="8">
        <v>1.0</v>
      </c>
      <c r="G28" s="5">
        <f t="shared" si="1"/>
        <v>0.5</v>
      </c>
      <c r="H28" s="9" t="s">
        <v>65</v>
      </c>
      <c r="I28" s="10" t="str">
        <f>IFERROR(__xludf.DUMMYFUNCTION("AI(""Write a short product description under 300 characters for "" &amp; A28 &amp; "" in the "" &amp; B28 &amp; "" category"")"),"Indulge in Toffeeto Chocolate, where rich, buttery toffee meets smooth, premium chocolate. This handcrafted treat offers a perfect balance of sweet crunch and velvety texture, making it an irresistible choice for any candy lover. Perfect for gifting or a "&amp;"decadent personal snack.")</f>
        <v>Indulge in Toffeeto Chocolate, where rich, buttery toffee meets smooth, premium chocolate. This handcrafted treat offers a perfect balance of sweet crunch and velvety texture, making it an irresistible choice for any candy lover. Perfect for gifting or a decadent personal snack.</v>
      </c>
    </row>
    <row r="29">
      <c r="A29" s="5" t="s">
        <v>66</v>
      </c>
      <c r="B29" s="5" t="s">
        <v>67</v>
      </c>
      <c r="C29" s="6">
        <v>20.0</v>
      </c>
      <c r="D29" s="7">
        <v>14.0</v>
      </c>
      <c r="E29" s="6">
        <v>20.0</v>
      </c>
      <c r="F29" s="8">
        <v>60.0</v>
      </c>
      <c r="G29" s="5">
        <f t="shared" si="1"/>
        <v>30</v>
      </c>
      <c r="H29" s="9" t="s">
        <v>68</v>
      </c>
      <c r="I29" s="10" t="str">
        <f>IFERROR(__xludf.DUMMYFUNCTION("AI(""Write a short product description under 300 characters for "" &amp; A29 &amp; "" in the "" &amp; B29 &amp; "" category"")"),"Power up your everyday devices with the Volt Pencil Battery UM-3. These reliable 1.5V AA batteries provide stable energy for remote controls, toys, and clocks. Designed for long-lasting performance and leak protection, they ensure your essential electroni"&amp;"cs stay running smoothly and efficiently.")</f>
        <v>Power up your everyday devices with the Volt Pencil Battery UM-3. These reliable 1.5V AA batteries provide stable energy for remote controls, toys, and clocks. Designed for long-lasting performance and leak protection, they ensure your essential electronics stay running smoothly and efficiently.</v>
      </c>
    </row>
    <row r="30">
      <c r="A30" s="5" t="s">
        <v>69</v>
      </c>
      <c r="B30" s="5" t="s">
        <v>67</v>
      </c>
      <c r="C30" s="6">
        <v>30.0</v>
      </c>
      <c r="D30" s="7">
        <v>24.0</v>
      </c>
      <c r="E30" s="6">
        <v>30.0</v>
      </c>
      <c r="F30" s="8">
        <v>25.0</v>
      </c>
      <c r="G30" s="5">
        <f t="shared" si="1"/>
        <v>12.5</v>
      </c>
      <c r="H30" s="9" t="s">
        <v>70</v>
      </c>
      <c r="I30" s="10" t="str">
        <f>IFERROR(__xludf.DUMMYFUNCTION("AI(""Write a short product description under 300 characters for "" &amp; A30 &amp; "" in the "" &amp; B30 &amp; "" category"")"),"The Volt Pencil Battery UM-4 provides reliable 1.5V power for your essential electronics. These AAA carbon-zinc batteries are an economical choice for low-drain devices like remote controls, clocks, and flashlights, ensuring consistent performance and a l"&amp;"ong shelf life for everyday use.")</f>
        <v>The Volt Pencil Battery UM-4 provides reliable 1.5V power for your essential electronics. These AAA carbon-zinc batteries are an economical choice for low-drain devices like remote controls, clocks, and flashlights, ensuring consistent performance and a long shelf life for everyday use.</v>
      </c>
    </row>
    <row r="31">
      <c r="I31" s="10"/>
    </row>
    <row r="32">
      <c r="I32" s="10"/>
    </row>
    <row r="33">
      <c r="I33" s="10"/>
    </row>
    <row r="34">
      <c r="I34" s="10"/>
    </row>
    <row r="35">
      <c r="I35" s="10"/>
    </row>
    <row r="36">
      <c r="I36" s="10"/>
    </row>
    <row r="37">
      <c r="I37" s="10"/>
    </row>
    <row r="38">
      <c r="I38" s="10"/>
    </row>
    <row r="39">
      <c r="I39" s="10"/>
    </row>
    <row r="40">
      <c r="I40" s="10"/>
    </row>
    <row r="41">
      <c r="I41" s="10"/>
    </row>
    <row r="42">
      <c r="I42" s="10"/>
    </row>
    <row r="43">
      <c r="I43" s="10"/>
    </row>
    <row r="44">
      <c r="I44" s="10"/>
    </row>
    <row r="45">
      <c r="I45" s="10"/>
    </row>
    <row r="46">
      <c r="I46" s="10"/>
    </row>
    <row r="47">
      <c r="I47" s="10"/>
    </row>
    <row r="48">
      <c r="I48" s="10"/>
    </row>
    <row r="49">
      <c r="I49" s="10"/>
    </row>
    <row r="50">
      <c r="I50" s="10"/>
    </row>
    <row r="51">
      <c r="I51" s="10"/>
    </row>
    <row r="52">
      <c r="I52" s="10"/>
    </row>
    <row r="53">
      <c r="I53" s="10"/>
    </row>
    <row r="54">
      <c r="I54" s="10"/>
    </row>
    <row r="55">
      <c r="I55" s="10"/>
    </row>
    <row r="56">
      <c r="I56" s="10"/>
    </row>
    <row r="57">
      <c r="I57" s="10"/>
    </row>
    <row r="58">
      <c r="I58" s="10"/>
    </row>
    <row r="59">
      <c r="I59" s="10"/>
    </row>
    <row r="60">
      <c r="I60" s="10"/>
    </row>
    <row r="61">
      <c r="I61" s="10"/>
    </row>
    <row r="62">
      <c r="I62" s="10"/>
    </row>
    <row r="63">
      <c r="I63" s="10"/>
    </row>
    <row r="64">
      <c r="I64" s="10"/>
    </row>
    <row r="65">
      <c r="I65" s="10"/>
    </row>
    <row r="66">
      <c r="I66" s="10"/>
    </row>
    <row r="67">
      <c r="I67" s="10"/>
    </row>
    <row r="68">
      <c r="I68" s="10"/>
    </row>
    <row r="69">
      <c r="I69" s="10"/>
    </row>
    <row r="70">
      <c r="I70" s="10"/>
    </row>
    <row r="71">
      <c r="I71" s="10"/>
    </row>
    <row r="72">
      <c r="I72" s="10"/>
    </row>
    <row r="73">
      <c r="I73" s="10"/>
    </row>
    <row r="74">
      <c r="I74" s="10"/>
    </row>
    <row r="75">
      <c r="I75" s="10"/>
    </row>
    <row r="76">
      <c r="I76" s="10"/>
    </row>
    <row r="77">
      <c r="I77" s="10"/>
    </row>
    <row r="78">
      <c r="I78" s="10"/>
    </row>
    <row r="79">
      <c r="I79" s="10"/>
    </row>
    <row r="80">
      <c r="I80" s="10"/>
    </row>
    <row r="81">
      <c r="I81" s="10"/>
    </row>
    <row r="82">
      <c r="I82" s="10"/>
    </row>
    <row r="83">
      <c r="I83" s="10"/>
    </row>
    <row r="84">
      <c r="I84" s="10"/>
    </row>
    <row r="85">
      <c r="I85" s="10"/>
    </row>
    <row r="86">
      <c r="I86" s="10"/>
    </row>
    <row r="87">
      <c r="I87" s="10"/>
    </row>
    <row r="88">
      <c r="I88" s="10"/>
    </row>
    <row r="89">
      <c r="I89" s="10"/>
    </row>
    <row r="90">
      <c r="I90" s="10"/>
    </row>
    <row r="91">
      <c r="I91" s="10"/>
    </row>
    <row r="92">
      <c r="I92" s="10"/>
    </row>
    <row r="93">
      <c r="I93" s="10"/>
    </row>
    <row r="94">
      <c r="I94" s="10"/>
    </row>
    <row r="95">
      <c r="I95" s="10"/>
    </row>
    <row r="96">
      <c r="I96" s="10"/>
    </row>
    <row r="97">
      <c r="I97" s="10"/>
    </row>
    <row r="98">
      <c r="I98" s="10"/>
    </row>
    <row r="99">
      <c r="I99" s="10"/>
    </row>
    <row r="100">
      <c r="I100" s="10"/>
    </row>
    <row r="101">
      <c r="I101" s="10"/>
    </row>
    <row r="102">
      <c r="I102" s="10"/>
    </row>
    <row r="103">
      <c r="I103" s="10"/>
    </row>
    <row r="104">
      <c r="I104" s="10"/>
    </row>
    <row r="105">
      <c r="I105" s="10"/>
    </row>
    <row r="106">
      <c r="I106" s="10"/>
    </row>
    <row r="107">
      <c r="I107" s="10"/>
    </row>
    <row r="108">
      <c r="I108" s="10"/>
    </row>
    <row r="109">
      <c r="I109" s="10"/>
    </row>
    <row r="110">
      <c r="I110" s="10"/>
    </row>
    <row r="111">
      <c r="I111" s="10"/>
    </row>
    <row r="112">
      <c r="I112" s="10"/>
    </row>
    <row r="113">
      <c r="I113" s="10"/>
    </row>
    <row r="114">
      <c r="I114" s="10"/>
    </row>
    <row r="115">
      <c r="I115" s="10"/>
    </row>
    <row r="116">
      <c r="I116" s="10"/>
    </row>
    <row r="117">
      <c r="I117" s="10"/>
    </row>
    <row r="118">
      <c r="I118" s="10"/>
    </row>
    <row r="119">
      <c r="I119" s="10"/>
    </row>
    <row r="120">
      <c r="I120" s="10"/>
    </row>
    <row r="121">
      <c r="I121" s="10"/>
    </row>
    <row r="122">
      <c r="I122" s="10"/>
    </row>
    <row r="123">
      <c r="I123" s="10"/>
    </row>
    <row r="124">
      <c r="I124" s="10"/>
    </row>
    <row r="125">
      <c r="I125" s="10"/>
    </row>
    <row r="126">
      <c r="I126" s="10"/>
    </row>
    <row r="127">
      <c r="I127" s="10"/>
    </row>
    <row r="128">
      <c r="I128" s="10"/>
    </row>
    <row r="129">
      <c r="I129" s="10"/>
    </row>
    <row r="130">
      <c r="I130" s="10"/>
    </row>
    <row r="131">
      <c r="I131" s="10"/>
    </row>
    <row r="132">
      <c r="I132" s="10"/>
    </row>
    <row r="133">
      <c r="I133" s="10"/>
    </row>
    <row r="134">
      <c r="I134" s="10"/>
    </row>
    <row r="135">
      <c r="I135" s="10"/>
    </row>
    <row r="136">
      <c r="I136" s="10"/>
    </row>
    <row r="137">
      <c r="I137" s="10"/>
    </row>
    <row r="138">
      <c r="I138" s="10"/>
    </row>
    <row r="139">
      <c r="I139" s="10"/>
    </row>
    <row r="140">
      <c r="I140" s="10"/>
    </row>
    <row r="141">
      <c r="I141" s="10"/>
    </row>
    <row r="142">
      <c r="I142" s="10"/>
    </row>
    <row r="143">
      <c r="I143" s="10"/>
    </row>
    <row r="144">
      <c r="I144" s="10"/>
    </row>
    <row r="145">
      <c r="I145" s="10"/>
    </row>
    <row r="146">
      <c r="I146" s="10"/>
    </row>
    <row r="147">
      <c r="I147" s="10"/>
    </row>
    <row r="148">
      <c r="I148" s="10"/>
    </row>
    <row r="149">
      <c r="I149" s="10"/>
    </row>
    <row r="150">
      <c r="I150" s="10"/>
    </row>
    <row r="151">
      <c r="I151" s="10"/>
    </row>
    <row r="152">
      <c r="I152" s="10"/>
    </row>
    <row r="153">
      <c r="I153" s="10"/>
    </row>
    <row r="154">
      <c r="I154" s="10"/>
    </row>
    <row r="155">
      <c r="I155" s="10"/>
    </row>
    <row r="156">
      <c r="I156" s="10"/>
    </row>
    <row r="157">
      <c r="I157" s="10"/>
    </row>
    <row r="158">
      <c r="I158" s="10"/>
    </row>
    <row r="159">
      <c r="I159" s="10"/>
    </row>
    <row r="160">
      <c r="I160" s="10"/>
    </row>
    <row r="161">
      <c r="I161" s="10"/>
    </row>
    <row r="162">
      <c r="I162" s="10"/>
    </row>
    <row r="163">
      <c r="I163" s="10"/>
    </row>
    <row r="164">
      <c r="I164" s="10"/>
    </row>
    <row r="165">
      <c r="I165" s="10"/>
    </row>
    <row r="166">
      <c r="I166" s="10"/>
    </row>
    <row r="167">
      <c r="I167" s="10"/>
    </row>
    <row r="168">
      <c r="I168" s="10"/>
    </row>
    <row r="169">
      <c r="I169" s="10"/>
    </row>
    <row r="170">
      <c r="I170" s="10"/>
    </row>
    <row r="171">
      <c r="I171" s="10"/>
    </row>
    <row r="172">
      <c r="I172" s="10"/>
    </row>
    <row r="173">
      <c r="I173" s="10"/>
    </row>
    <row r="174">
      <c r="I174" s="10"/>
    </row>
    <row r="175">
      <c r="I175" s="10"/>
    </row>
    <row r="176">
      <c r="I176" s="10"/>
    </row>
    <row r="177">
      <c r="I177" s="10"/>
    </row>
    <row r="178">
      <c r="I178" s="10"/>
    </row>
    <row r="179">
      <c r="I179" s="10"/>
    </row>
    <row r="180">
      <c r="I180" s="10"/>
    </row>
    <row r="181">
      <c r="I181" s="10"/>
    </row>
    <row r="182">
      <c r="I182" s="10"/>
    </row>
    <row r="183">
      <c r="I183" s="10"/>
    </row>
    <row r="184">
      <c r="I184" s="10"/>
    </row>
    <row r="185">
      <c r="I185" s="10"/>
    </row>
    <row r="186">
      <c r="I186" s="10"/>
    </row>
    <row r="187">
      <c r="I187" s="10"/>
    </row>
    <row r="188">
      <c r="I188" s="10"/>
    </row>
    <row r="189">
      <c r="I189" s="10"/>
    </row>
    <row r="190">
      <c r="I190" s="10"/>
    </row>
    <row r="191">
      <c r="I191" s="10"/>
    </row>
    <row r="192">
      <c r="I192" s="10"/>
    </row>
    <row r="193">
      <c r="I193" s="10"/>
    </row>
    <row r="194">
      <c r="I194" s="10"/>
    </row>
    <row r="195">
      <c r="I195" s="10"/>
    </row>
    <row r="196">
      <c r="I196" s="10"/>
    </row>
    <row r="197">
      <c r="I197" s="10"/>
    </row>
    <row r="198">
      <c r="I198" s="10"/>
    </row>
    <row r="199">
      <c r="I199" s="10"/>
    </row>
    <row r="200">
      <c r="I200" s="10"/>
    </row>
    <row r="201">
      <c r="I201" s="10"/>
    </row>
    <row r="202">
      <c r="I202" s="10"/>
    </row>
    <row r="203">
      <c r="I203" s="10"/>
    </row>
    <row r="204">
      <c r="I204" s="10"/>
    </row>
    <row r="205">
      <c r="I205" s="10"/>
    </row>
    <row r="206">
      <c r="I206" s="10"/>
    </row>
    <row r="207">
      <c r="I207" s="10"/>
    </row>
    <row r="208">
      <c r="I208" s="10"/>
    </row>
    <row r="209">
      <c r="I209" s="10"/>
    </row>
    <row r="210">
      <c r="I210" s="10"/>
    </row>
    <row r="211">
      <c r="I211" s="10"/>
    </row>
    <row r="212">
      <c r="I212" s="10"/>
    </row>
    <row r="213">
      <c r="I213" s="10"/>
    </row>
    <row r="214">
      <c r="I214" s="10"/>
    </row>
    <row r="215">
      <c r="I215" s="10"/>
    </row>
    <row r="216">
      <c r="I216" s="10"/>
    </row>
    <row r="217">
      <c r="I217" s="10"/>
    </row>
    <row r="218">
      <c r="I218" s="10"/>
    </row>
    <row r="219">
      <c r="I219" s="10"/>
    </row>
    <row r="220">
      <c r="I220" s="10"/>
    </row>
    <row r="221">
      <c r="I221" s="10"/>
    </row>
    <row r="222">
      <c r="I222" s="10"/>
    </row>
    <row r="223">
      <c r="I223" s="10"/>
    </row>
    <row r="224">
      <c r="I224" s="10"/>
    </row>
    <row r="225">
      <c r="I225" s="10"/>
    </row>
    <row r="226">
      <c r="I226" s="10"/>
    </row>
    <row r="227">
      <c r="I227" s="10"/>
    </row>
    <row r="228">
      <c r="I228" s="10"/>
    </row>
    <row r="229">
      <c r="I229" s="10"/>
    </row>
    <row r="230">
      <c r="I230" s="10"/>
    </row>
    <row r="231">
      <c r="I231" s="10"/>
    </row>
    <row r="232">
      <c r="I232" s="10"/>
    </row>
    <row r="233">
      <c r="I233" s="10"/>
    </row>
    <row r="234">
      <c r="I234" s="10"/>
    </row>
    <row r="235">
      <c r="I235" s="10"/>
    </row>
    <row r="236">
      <c r="I236" s="10"/>
    </row>
    <row r="237">
      <c r="I237" s="10"/>
    </row>
    <row r="238">
      <c r="I238" s="10"/>
    </row>
    <row r="239">
      <c r="I239" s="10"/>
    </row>
    <row r="240">
      <c r="I240" s="10"/>
    </row>
    <row r="241">
      <c r="I241" s="10"/>
    </row>
    <row r="242">
      <c r="I242" s="10"/>
    </row>
    <row r="243">
      <c r="I243" s="10"/>
    </row>
    <row r="244">
      <c r="I244" s="10"/>
    </row>
    <row r="245">
      <c r="I245" s="10"/>
    </row>
    <row r="246">
      <c r="I246" s="10"/>
    </row>
    <row r="247">
      <c r="I247" s="10"/>
    </row>
    <row r="248">
      <c r="I248" s="10"/>
    </row>
    <row r="249">
      <c r="I249" s="10"/>
    </row>
    <row r="250">
      <c r="I250" s="10"/>
    </row>
    <row r="251">
      <c r="I251" s="10"/>
    </row>
    <row r="252">
      <c r="I252" s="10"/>
    </row>
    <row r="253">
      <c r="I253" s="10"/>
    </row>
    <row r="254">
      <c r="I254" s="10"/>
    </row>
    <row r="255">
      <c r="I255" s="10"/>
    </row>
    <row r="256">
      <c r="I256" s="10"/>
    </row>
    <row r="257">
      <c r="I257" s="10"/>
    </row>
    <row r="258">
      <c r="I258" s="10"/>
    </row>
    <row r="259">
      <c r="I259" s="10"/>
    </row>
    <row r="260">
      <c r="I260" s="10"/>
    </row>
    <row r="261">
      <c r="I261" s="10"/>
    </row>
    <row r="262">
      <c r="I262" s="10"/>
    </row>
    <row r="263">
      <c r="I263" s="10"/>
    </row>
    <row r="264">
      <c r="I264" s="10"/>
    </row>
    <row r="265">
      <c r="I265" s="10"/>
    </row>
    <row r="266">
      <c r="I266" s="10"/>
    </row>
    <row r="267">
      <c r="I267" s="10"/>
    </row>
    <row r="268">
      <c r="I268" s="10"/>
    </row>
    <row r="269">
      <c r="I269" s="10"/>
    </row>
    <row r="270">
      <c r="I270" s="10"/>
    </row>
    <row r="271">
      <c r="I271" s="10"/>
    </row>
    <row r="272">
      <c r="I272" s="10"/>
    </row>
    <row r="273">
      <c r="I273" s="10"/>
    </row>
    <row r="274">
      <c r="I274" s="10"/>
    </row>
    <row r="275">
      <c r="I275" s="10"/>
    </row>
    <row r="276">
      <c r="I276" s="10"/>
    </row>
    <row r="277">
      <c r="I277" s="10"/>
    </row>
    <row r="278">
      <c r="I278" s="10"/>
    </row>
    <row r="279">
      <c r="I279" s="10"/>
    </row>
    <row r="280">
      <c r="I280" s="10"/>
    </row>
    <row r="281">
      <c r="I281" s="10"/>
    </row>
    <row r="282">
      <c r="I282" s="10"/>
    </row>
    <row r="283">
      <c r="I283" s="10"/>
    </row>
    <row r="284">
      <c r="I284" s="10"/>
    </row>
    <row r="285">
      <c r="I285" s="10"/>
    </row>
    <row r="286">
      <c r="I286" s="10"/>
    </row>
    <row r="287">
      <c r="I287" s="10"/>
    </row>
    <row r="288">
      <c r="I288" s="10"/>
    </row>
    <row r="289">
      <c r="I289" s="10"/>
    </row>
    <row r="290">
      <c r="I290" s="10"/>
    </row>
    <row r="291">
      <c r="I291" s="10"/>
    </row>
    <row r="292">
      <c r="I292" s="10"/>
    </row>
    <row r="293">
      <c r="I293" s="10"/>
    </row>
    <row r="294">
      <c r="I294" s="10"/>
    </row>
    <row r="295">
      <c r="I295" s="10"/>
    </row>
    <row r="296">
      <c r="I296" s="10"/>
    </row>
    <row r="297">
      <c r="I297" s="10"/>
    </row>
    <row r="298">
      <c r="I298" s="10"/>
    </row>
    <row r="299">
      <c r="I299" s="10"/>
    </row>
    <row r="300">
      <c r="I300" s="10"/>
    </row>
    <row r="301">
      <c r="I301" s="10"/>
    </row>
    <row r="302">
      <c r="I302" s="10"/>
    </row>
    <row r="303">
      <c r="I303" s="10"/>
    </row>
    <row r="304">
      <c r="I304" s="10"/>
    </row>
    <row r="305">
      <c r="I305" s="10"/>
    </row>
    <row r="306">
      <c r="I306" s="10"/>
    </row>
    <row r="307">
      <c r="I307" s="10"/>
    </row>
    <row r="308">
      <c r="I308" s="10"/>
    </row>
    <row r="309">
      <c r="I309" s="10"/>
    </row>
    <row r="310">
      <c r="I310" s="10"/>
    </row>
    <row r="311">
      <c r="I311" s="10"/>
    </row>
    <row r="312">
      <c r="I312" s="10"/>
    </row>
    <row r="313">
      <c r="I313" s="10"/>
    </row>
    <row r="314">
      <c r="I314" s="10"/>
    </row>
    <row r="315">
      <c r="I315" s="10"/>
    </row>
    <row r="316">
      <c r="I316" s="10"/>
    </row>
    <row r="317">
      <c r="I317" s="10"/>
    </row>
    <row r="318">
      <c r="I318" s="10"/>
    </row>
    <row r="319">
      <c r="I319" s="10"/>
    </row>
    <row r="320">
      <c r="I320" s="10"/>
    </row>
    <row r="321">
      <c r="I321" s="10"/>
    </row>
    <row r="322">
      <c r="I322" s="10"/>
    </row>
    <row r="323">
      <c r="I323" s="10"/>
    </row>
    <row r="324">
      <c r="I324" s="10"/>
    </row>
    <row r="325">
      <c r="I325" s="10"/>
    </row>
    <row r="326">
      <c r="I326" s="10"/>
    </row>
    <row r="327">
      <c r="I327" s="10"/>
    </row>
    <row r="328">
      <c r="I328" s="10"/>
    </row>
    <row r="329">
      <c r="I329" s="10"/>
    </row>
    <row r="330">
      <c r="I330" s="10"/>
    </row>
    <row r="331">
      <c r="I331" s="10"/>
    </row>
    <row r="332">
      <c r="I332" s="10"/>
    </row>
    <row r="333">
      <c r="I333" s="10"/>
    </row>
    <row r="334">
      <c r="I334" s="10"/>
    </row>
    <row r="335">
      <c r="I335" s="10"/>
    </row>
    <row r="336">
      <c r="I336" s="10"/>
    </row>
    <row r="337">
      <c r="I337" s="10"/>
    </row>
    <row r="338">
      <c r="I338" s="10"/>
    </row>
    <row r="339">
      <c r="I339" s="10"/>
    </row>
    <row r="340">
      <c r="I340" s="10"/>
    </row>
    <row r="341">
      <c r="I341" s="10"/>
    </row>
    <row r="342">
      <c r="I342" s="10"/>
    </row>
    <row r="343">
      <c r="I343" s="10"/>
    </row>
    <row r="344">
      <c r="I344" s="10"/>
    </row>
    <row r="345">
      <c r="I345" s="10"/>
    </row>
    <row r="346">
      <c r="I346" s="10"/>
    </row>
    <row r="347">
      <c r="I347" s="10"/>
    </row>
    <row r="348">
      <c r="I348" s="10"/>
    </row>
    <row r="349">
      <c r="I349" s="10"/>
    </row>
    <row r="350">
      <c r="I350" s="10"/>
    </row>
    <row r="351">
      <c r="I351" s="10"/>
    </row>
    <row r="352">
      <c r="I352" s="10"/>
    </row>
    <row r="353">
      <c r="I353" s="10"/>
    </row>
    <row r="354">
      <c r="I354" s="10"/>
    </row>
    <row r="355">
      <c r="I355" s="10"/>
    </row>
    <row r="356">
      <c r="I356" s="10"/>
    </row>
    <row r="357">
      <c r="I357" s="10"/>
    </row>
    <row r="358">
      <c r="I358" s="10"/>
    </row>
    <row r="359">
      <c r="I359" s="10"/>
    </row>
    <row r="360">
      <c r="I360" s="10"/>
    </row>
    <row r="361">
      <c r="I361" s="10"/>
    </row>
    <row r="362">
      <c r="I362" s="10"/>
    </row>
    <row r="363">
      <c r="I363" s="10"/>
    </row>
    <row r="364">
      <c r="I364" s="10"/>
    </row>
    <row r="365">
      <c r="I365" s="10"/>
    </row>
    <row r="366">
      <c r="I366" s="10"/>
    </row>
    <row r="367">
      <c r="I367" s="10"/>
    </row>
    <row r="368">
      <c r="I368" s="10"/>
    </row>
    <row r="369">
      <c r="I369" s="10"/>
    </row>
    <row r="370">
      <c r="I370" s="10"/>
    </row>
    <row r="371">
      <c r="I371" s="10"/>
    </row>
    <row r="372">
      <c r="I372" s="10"/>
    </row>
    <row r="373">
      <c r="I373" s="10"/>
    </row>
    <row r="374">
      <c r="I374" s="10"/>
    </row>
    <row r="375">
      <c r="I375" s="10"/>
    </row>
    <row r="376">
      <c r="I376" s="10"/>
    </row>
    <row r="377">
      <c r="I377" s="10"/>
    </row>
    <row r="378">
      <c r="I378" s="10"/>
    </row>
    <row r="379">
      <c r="I379" s="10"/>
    </row>
    <row r="380">
      <c r="I380" s="10"/>
    </row>
    <row r="381">
      <c r="I381" s="10"/>
    </row>
    <row r="382">
      <c r="I382" s="10"/>
    </row>
    <row r="383">
      <c r="I383" s="10"/>
    </row>
    <row r="384">
      <c r="I384" s="10"/>
    </row>
    <row r="385">
      <c r="I385" s="10"/>
    </row>
    <row r="386">
      <c r="I386" s="10"/>
    </row>
    <row r="387">
      <c r="I387" s="10"/>
    </row>
    <row r="388">
      <c r="I388" s="10"/>
    </row>
    <row r="389">
      <c r="I389" s="10"/>
    </row>
    <row r="390">
      <c r="I390" s="10"/>
    </row>
    <row r="391">
      <c r="I391" s="10"/>
    </row>
    <row r="392">
      <c r="I392" s="10"/>
    </row>
    <row r="393">
      <c r="I393" s="10"/>
    </row>
    <row r="394">
      <c r="I394" s="10"/>
    </row>
    <row r="395">
      <c r="I395" s="10"/>
    </row>
    <row r="396">
      <c r="I396" s="10"/>
    </row>
    <row r="397">
      <c r="I397" s="10"/>
    </row>
    <row r="398">
      <c r="I398" s="10"/>
    </row>
    <row r="399">
      <c r="I399" s="10"/>
    </row>
    <row r="400">
      <c r="I400" s="10"/>
    </row>
    <row r="401">
      <c r="I401" s="10"/>
    </row>
    <row r="402">
      <c r="I402" s="10"/>
    </row>
    <row r="403">
      <c r="I403" s="10"/>
    </row>
    <row r="404">
      <c r="I404" s="10"/>
    </row>
    <row r="405">
      <c r="I405" s="10"/>
    </row>
    <row r="406">
      <c r="I406" s="10"/>
    </row>
    <row r="407">
      <c r="I407" s="10"/>
    </row>
    <row r="408">
      <c r="I408" s="10"/>
    </row>
    <row r="409">
      <c r="I409" s="10"/>
    </row>
    <row r="410">
      <c r="I410" s="10"/>
    </row>
    <row r="411">
      <c r="I411" s="10"/>
    </row>
    <row r="412">
      <c r="I412" s="10"/>
    </row>
    <row r="413">
      <c r="I413" s="10"/>
    </row>
    <row r="414">
      <c r="I414" s="10"/>
    </row>
    <row r="415">
      <c r="I415" s="10"/>
    </row>
    <row r="416">
      <c r="I416" s="10"/>
    </row>
    <row r="417">
      <c r="I417" s="10"/>
    </row>
    <row r="418">
      <c r="I418" s="10"/>
    </row>
    <row r="419">
      <c r="I419" s="10"/>
    </row>
    <row r="420">
      <c r="I420" s="10"/>
    </row>
    <row r="421">
      <c r="I421" s="10"/>
    </row>
    <row r="422">
      <c r="I422" s="10"/>
    </row>
    <row r="423">
      <c r="I423" s="10"/>
    </row>
    <row r="424">
      <c r="I424" s="10"/>
    </row>
    <row r="425">
      <c r="I425" s="10"/>
    </row>
    <row r="426">
      <c r="I426" s="10"/>
    </row>
    <row r="427">
      <c r="I427" s="10"/>
    </row>
    <row r="428">
      <c r="I428" s="10"/>
    </row>
    <row r="429">
      <c r="I429" s="10"/>
    </row>
    <row r="430">
      <c r="I430" s="10"/>
    </row>
    <row r="431">
      <c r="I431" s="10"/>
    </row>
    <row r="432">
      <c r="I432" s="10"/>
    </row>
    <row r="433">
      <c r="I433" s="10"/>
    </row>
    <row r="434">
      <c r="I434" s="10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</sheetData>
  <drawing r:id="rId1"/>
</worksheet>
</file>