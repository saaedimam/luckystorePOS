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<sst xmlns="http://schemas.openxmlformats.org/spreadsheetml/2006/main" count="1128" uniqueCount="775">
  <si>
    <t>Item Name</t>
  </si>
  <si>
    <t>Category</t>
  </si>
  <si>
    <t>Purchase Price</t>
  </si>
  <si>
    <t>Sales Price</t>
  </si>
  <si>
    <t>Opening Stock</t>
  </si>
  <si>
    <t>Low Stock</t>
  </si>
  <si>
    <t>Item Code</t>
  </si>
  <si>
    <t>Description</t>
  </si>
  <si>
    <t>Honey Tea Bag 25g</t>
  </si>
  <si>
    <t>Tea &amp; Coffee</t>
  </si>
  <si>
    <t>LS-000161</t>
  </si>
  <si>
    <t>Lipton Pure Tea 25g</t>
  </si>
  <si>
    <t>LS-000162</t>
  </si>
  <si>
    <t>Taaza Tea Bag</t>
  </si>
  <si>
    <t>LS-000163</t>
  </si>
  <si>
    <t>Taaza 50g</t>
  </si>
  <si>
    <t>LS-000164</t>
  </si>
  <si>
    <t>Taaza 100g</t>
  </si>
  <si>
    <t>LS-000165</t>
  </si>
  <si>
    <t>Taaza 400g</t>
  </si>
  <si>
    <t>LS-000166</t>
  </si>
  <si>
    <t>Taaza 500g</t>
  </si>
  <si>
    <t>LS-000167</t>
  </si>
  <si>
    <t>Taaza 500g 3 star</t>
  </si>
  <si>
    <t>LS-000168</t>
  </si>
  <si>
    <t>Godrej Good Knight Power Activ+ (Machine + Refill)</t>
  </si>
  <si>
    <t>Pest Control</t>
  </si>
  <si>
    <t>LS-000169</t>
  </si>
  <si>
    <t>Godrej Good Knigth Bullet (Machine+Refill)</t>
  </si>
  <si>
    <t>LS-000170</t>
  </si>
  <si>
    <t>Goodknight Refill Liquid (45ml)</t>
  </si>
  <si>
    <t>LS-000171</t>
  </si>
  <si>
    <t>Godrej Red HIT (200ml)</t>
  </si>
  <si>
    <t>LS-000172</t>
  </si>
  <si>
    <t>Godrej Red Hit (400ml)</t>
  </si>
  <si>
    <t>LS-000173</t>
  </si>
  <si>
    <t>Godrej Black Hit (200ml)</t>
  </si>
  <si>
    <t>LS-000174</t>
  </si>
  <si>
    <t>Godrej Black Hit/Lime (475ml)</t>
  </si>
  <si>
    <t>LS-000175</t>
  </si>
  <si>
    <t>Godrej Soap</t>
  </si>
  <si>
    <t>Personal Care</t>
  </si>
  <si>
    <t>LS-000176</t>
  </si>
  <si>
    <t>Godrej Powder Hair Dye Black 3g</t>
  </si>
  <si>
    <t>LS-000177</t>
  </si>
  <si>
    <t>Expert Shampoo Hair Color 9g</t>
  </si>
  <si>
    <t>LS-000178</t>
  </si>
  <si>
    <t>Expert Shampoo Hair Color 5g</t>
  </si>
  <si>
    <t>LS-000179</t>
  </si>
  <si>
    <t xml:space="preserve">AER Room Spray </t>
  </si>
  <si>
    <t>Air Freshner</t>
  </si>
  <si>
    <t>LS-000180</t>
  </si>
  <si>
    <t>AER Pocket Perfume</t>
  </si>
  <si>
    <t>LS-000181</t>
  </si>
  <si>
    <t>Godrej Magic Handwash Refill</t>
  </si>
  <si>
    <t>LS-000182</t>
  </si>
  <si>
    <t>Muffin Bread Vanilla 324g</t>
  </si>
  <si>
    <t>Biscuits &amp; Cookies</t>
  </si>
  <si>
    <t>LS-000183</t>
  </si>
  <si>
    <t>Muffin Bread Chocolate 324g</t>
  </si>
  <si>
    <t>LS-000184</t>
  </si>
  <si>
    <t>Muffin Lata Vanilla 8g</t>
  </si>
  <si>
    <t>LS-000185</t>
  </si>
  <si>
    <t>Muffin Lata Chocolate 8g</t>
  </si>
  <si>
    <t>LS-000186</t>
  </si>
  <si>
    <t>Muffin Lata Fruit 8g</t>
  </si>
  <si>
    <t>LS-000187</t>
  </si>
  <si>
    <t>Kazi Toast 250g</t>
  </si>
  <si>
    <t>LS-000188</t>
  </si>
  <si>
    <t>Slice Pound Cake Vanilla</t>
  </si>
  <si>
    <t>LS-000189</t>
  </si>
  <si>
    <t>Slice Pound Cake Milk</t>
  </si>
  <si>
    <t>LS-000190</t>
  </si>
  <si>
    <t>Slice Pound Cake Chocolate</t>
  </si>
  <si>
    <t>LS-000191</t>
  </si>
  <si>
    <t>Pound Cake Vanilla</t>
  </si>
  <si>
    <t>LS-000192</t>
  </si>
  <si>
    <t>Pound Cake Chocolate</t>
  </si>
  <si>
    <t>LS-000193</t>
  </si>
  <si>
    <t>Pound Cake Fruit</t>
  </si>
  <si>
    <t>LS-000194</t>
  </si>
  <si>
    <t>Dry Cake (300g)</t>
  </si>
  <si>
    <t>LS-000195</t>
  </si>
  <si>
    <t>Mini Dry Cake</t>
  </si>
  <si>
    <t>LS-000196</t>
  </si>
  <si>
    <t>Tomato Ketchup Small</t>
  </si>
  <si>
    <t>Condiments</t>
  </si>
  <si>
    <t>LS-000197</t>
  </si>
  <si>
    <t>Kellogs Almond Corn Flakes 300g</t>
  </si>
  <si>
    <t>Cereals</t>
  </si>
  <si>
    <t>LS-000198</t>
  </si>
  <si>
    <t>Kellogs Corn Flakes Real Honey 300g</t>
  </si>
  <si>
    <t>LS-000199</t>
  </si>
  <si>
    <t>Kellogs Fruit Loops 285g</t>
  </si>
  <si>
    <t>LS-000200</t>
  </si>
  <si>
    <t>Kellogs Chocos 127g</t>
  </si>
  <si>
    <t>LS-000201</t>
  </si>
  <si>
    <t>Kellogs Chocos 250g</t>
  </si>
  <si>
    <t>LS-000202</t>
  </si>
  <si>
    <t>Kellogs Chocos Fills Centred Pillow 250g</t>
  </si>
  <si>
    <t>LS-000203</t>
  </si>
  <si>
    <t>Kellogs Muesli Crunchy Fruit &amp; Nut 500g</t>
  </si>
  <si>
    <t>LS-000204</t>
  </si>
  <si>
    <t>Kellogs K-Park 26g</t>
  </si>
  <si>
    <t>LS-000205</t>
  </si>
  <si>
    <t>Kellogs Oats 400g</t>
  </si>
  <si>
    <t>LS-000206</t>
  </si>
  <si>
    <t>Kellogs Oats 900g</t>
  </si>
  <si>
    <t>LS-000207</t>
  </si>
  <si>
    <t>Dano Daily Pusti 100g</t>
  </si>
  <si>
    <t>Dairy &amp; Eggs</t>
  </si>
  <si>
    <t>LS-000208</t>
  </si>
  <si>
    <t>Dano Daily Pusti 50g</t>
  </si>
  <si>
    <t>LS-000209</t>
  </si>
  <si>
    <t>Dano Daily Pusti 500g</t>
  </si>
  <si>
    <t>LS-000210</t>
  </si>
  <si>
    <t>Dano Daily Pusti 200g</t>
  </si>
  <si>
    <t>LS-000211</t>
  </si>
  <si>
    <t>Dano Delight 500g</t>
  </si>
  <si>
    <t>LS-000212</t>
  </si>
  <si>
    <t>Dano Delight 200g</t>
  </si>
  <si>
    <t>LS-000213</t>
  </si>
  <si>
    <t>Dano Power 500g</t>
  </si>
  <si>
    <t>LS-000214</t>
  </si>
  <si>
    <t>Dano Power 200g</t>
  </si>
  <si>
    <t>LS-000215</t>
  </si>
  <si>
    <t>Diploma IFCMP 1kg</t>
  </si>
  <si>
    <t>Dairy</t>
  </si>
  <si>
    <t>LS-000216</t>
  </si>
  <si>
    <t>Diploma IFCMP 200g</t>
  </si>
  <si>
    <t>LS-000217</t>
  </si>
  <si>
    <t>Diploma IFCMP 500g</t>
  </si>
  <si>
    <t>LS-000218</t>
  </si>
  <si>
    <t>Doodles Instant Noodles Masala 62g (8 Pack)</t>
  </si>
  <si>
    <t>Snacks</t>
  </si>
  <si>
    <t>LS-000219</t>
  </si>
  <si>
    <t>Doodles Instant Noodles Masala 62g (24 Pack)</t>
  </si>
  <si>
    <t>LS-000220</t>
  </si>
  <si>
    <t>Doodles Instant Noodles Masala 62g (12 Pack)</t>
  </si>
  <si>
    <t>LS-000221</t>
  </si>
  <si>
    <t>Doodles Instant Noodles Ramen 62g (4 Pack)</t>
  </si>
  <si>
    <t>LS-000222</t>
  </si>
  <si>
    <t>Doodles Instant Noodles Ramen 62g (8 Pack)</t>
  </si>
  <si>
    <t>LS-000223</t>
  </si>
  <si>
    <t>Doodles Stick Noodles 150g</t>
  </si>
  <si>
    <t>LS-000224</t>
  </si>
  <si>
    <t>Doodles Stick Noodles Chicken Delight 300g</t>
  </si>
  <si>
    <t>LS-000225</t>
  </si>
  <si>
    <t>Detos Nacho Cheese Chips 30g</t>
  </si>
  <si>
    <t>LS-000226</t>
  </si>
  <si>
    <t>Detos Sweet Chilli Chips 30g</t>
  </si>
  <si>
    <t>LS-000227</t>
  </si>
  <si>
    <t>Poppers Corn Coconut Crackers 25g</t>
  </si>
  <si>
    <t>LS-000228</t>
  </si>
  <si>
    <t>Bellame Butter Toast 200g</t>
  </si>
  <si>
    <t>LS-000229</t>
  </si>
  <si>
    <t>Bellame Choco Little Cookies 240g</t>
  </si>
  <si>
    <t>LS-000230</t>
  </si>
  <si>
    <t>Bellame Chocolate Digestive 135g</t>
  </si>
  <si>
    <t>LS-000231</t>
  </si>
  <si>
    <t>Bellame Chocolate Fondue Cookie 176g</t>
  </si>
  <si>
    <t>LS-000232</t>
  </si>
  <si>
    <t>Bellame Digestive Biscuit 135g</t>
  </si>
  <si>
    <t>LS-000233</t>
  </si>
  <si>
    <t>Bellame Peanut Bite Cookies 240g</t>
  </si>
  <si>
    <t>LS-000234</t>
  </si>
  <si>
    <t>Nazirshail (Rahman) Loose</t>
  </si>
  <si>
    <t>Rice &amp; Grain</t>
  </si>
  <si>
    <t>LS-000235</t>
  </si>
  <si>
    <t>Nazirshail 25KG (Rahman)</t>
  </si>
  <si>
    <t>LS-000236</t>
  </si>
  <si>
    <t>Nazirshail 25KG (Rupchanda)</t>
  </si>
  <si>
    <t>LS-000237</t>
  </si>
  <si>
    <t>Katari Atob (Rahman) Loose</t>
  </si>
  <si>
    <t>LS-000238</t>
  </si>
  <si>
    <t>Katari Atob 25KG (Rahman)</t>
  </si>
  <si>
    <t>LS-000239</t>
  </si>
  <si>
    <t>Miniket Atob (Shonko) Loose</t>
  </si>
  <si>
    <t>LS-000240</t>
  </si>
  <si>
    <t>Miniket Atob 25KG (Shonko)</t>
  </si>
  <si>
    <t>LS-000241</t>
  </si>
  <si>
    <t>ACI Chinigura 50KG Loose</t>
  </si>
  <si>
    <t>LS-000242</t>
  </si>
  <si>
    <t>Katari C (Nobanno) Loose</t>
  </si>
  <si>
    <t>LS-000243</t>
  </si>
  <si>
    <t>Katari C 25KG (Nobanno)</t>
  </si>
  <si>
    <t>LS-000244</t>
  </si>
  <si>
    <t>Jirashail (Nobanno) Loose</t>
  </si>
  <si>
    <t>LS-000245</t>
  </si>
  <si>
    <t>Jirashail 25KG (Nobanno)</t>
  </si>
  <si>
    <t>LS-000246</t>
  </si>
  <si>
    <t>Basmati (Golden) Banglamoti Loose</t>
  </si>
  <si>
    <t>LS-000247</t>
  </si>
  <si>
    <t>Miniket C (Nouka) Loose</t>
  </si>
  <si>
    <t>LS-000248</t>
  </si>
  <si>
    <t>Potatoes - alu</t>
  </si>
  <si>
    <t>Cooking Needs</t>
  </si>
  <si>
    <t>LS-000249</t>
  </si>
  <si>
    <t>Onions - piyaj</t>
  </si>
  <si>
    <t>LS-000250</t>
  </si>
  <si>
    <t>Ginger - ada</t>
  </si>
  <si>
    <t>LS-000251</t>
  </si>
  <si>
    <t>Garlic - roshun</t>
  </si>
  <si>
    <t>LS-000252</t>
  </si>
  <si>
    <t>LS-000253</t>
  </si>
  <si>
    <t>LS-000254</t>
  </si>
  <si>
    <t>Katari Atob 25KG (Premium)</t>
  </si>
  <si>
    <t>LS-000255</t>
  </si>
  <si>
    <t>Paijam Atob 25KG (Boiled)</t>
  </si>
  <si>
    <t>LS-000256</t>
  </si>
  <si>
    <t>Lentils - Masur Daal</t>
  </si>
  <si>
    <t>LS-000257</t>
  </si>
  <si>
    <t>Motor Daal</t>
  </si>
  <si>
    <t>LS-000258</t>
  </si>
  <si>
    <t>Shukran Rice Atosh 50KG</t>
  </si>
  <si>
    <t>LS-000259</t>
  </si>
  <si>
    <t>Salt</t>
  </si>
  <si>
    <t>LS-000260</t>
  </si>
  <si>
    <t>Sugar</t>
  </si>
  <si>
    <t>LS-000261</t>
  </si>
  <si>
    <t>Jirashail 25KG (Bashir)</t>
  </si>
  <si>
    <t>LS-000262</t>
  </si>
  <si>
    <t>Moida - loose</t>
  </si>
  <si>
    <t>LS-000263</t>
  </si>
  <si>
    <t>Ata - loose</t>
  </si>
  <si>
    <t>LS-000264</t>
  </si>
  <si>
    <t>Chona Boot</t>
  </si>
  <si>
    <t>LS-000265</t>
  </si>
  <si>
    <t>Rupchanda Soyabean Oil 1L</t>
  </si>
  <si>
    <t>Oil</t>
  </si>
  <si>
    <t>LS-000266</t>
  </si>
  <si>
    <t>Rupchanda Soyabean Oil 2L</t>
  </si>
  <si>
    <t>LS-000267</t>
  </si>
  <si>
    <t>Rupchanda Soyabean Oil 5L</t>
  </si>
  <si>
    <t>LS-000268</t>
  </si>
  <si>
    <t>Fortune Rice Bran Oil 2L</t>
  </si>
  <si>
    <t>LS-000269</t>
  </si>
  <si>
    <t>Fortune Rice Bran Oil 5L</t>
  </si>
  <si>
    <t>LS-000270</t>
  </si>
  <si>
    <t>Kings Pure Sunflower Oil 2L</t>
  </si>
  <si>
    <t>LS-000271</t>
  </si>
  <si>
    <t>Fortune Mustard Oil 80ml</t>
  </si>
  <si>
    <t>LS-000272</t>
  </si>
  <si>
    <t>Fortune Mustard Oil 250ml</t>
  </si>
  <si>
    <t>LS-000273</t>
  </si>
  <si>
    <t>Fortune Mustard Oil 1L</t>
  </si>
  <si>
    <t>LS-000274</t>
  </si>
  <si>
    <t>Fortune Mustard Oil 5L</t>
  </si>
  <si>
    <t>LS-000275</t>
  </si>
  <si>
    <t>Rupchanda Chinigura Rice 1KG</t>
  </si>
  <si>
    <t>LS-000276</t>
  </si>
  <si>
    <t>Fortune Basmati Rice 1KG</t>
  </si>
  <si>
    <t>LS-000277</t>
  </si>
  <si>
    <t>Kitkat 1 Finger</t>
  </si>
  <si>
    <t>Chocolates &amp; Candies</t>
  </si>
  <si>
    <t>LS-000278</t>
  </si>
  <si>
    <t>Kitkat 3 Finger</t>
  </si>
  <si>
    <t>LS-000279</t>
  </si>
  <si>
    <t>Kitkat 4 Finger</t>
  </si>
  <si>
    <t>LS-000280</t>
  </si>
  <si>
    <t>Taaqa Juice</t>
  </si>
  <si>
    <t>Beverages</t>
  </si>
  <si>
    <t>LS-000281</t>
  </si>
  <si>
    <t>Nutrilife Can</t>
  </si>
  <si>
    <t>LS-000282</t>
  </si>
  <si>
    <t>Nutrilife Mango Juice 160ML</t>
  </si>
  <si>
    <t>LS-000283</t>
  </si>
  <si>
    <t>Nutrilife Orange Juice 160ML</t>
  </si>
  <si>
    <t>LS-000284</t>
  </si>
  <si>
    <t>Nutrilife Mango Juice 1L</t>
  </si>
  <si>
    <t>LS-000285</t>
  </si>
  <si>
    <t>Nutrilife Orange Juice 1L</t>
  </si>
  <si>
    <t>LS-000286</t>
  </si>
  <si>
    <t>Nutrilife Pomegranate 1L</t>
  </si>
  <si>
    <t>LS-000287</t>
  </si>
  <si>
    <t>Nutrilife Cranberry 1L</t>
  </si>
  <si>
    <t>LS-000288</t>
  </si>
  <si>
    <t>Oats Bar</t>
  </si>
  <si>
    <t>LS-000289</t>
  </si>
  <si>
    <t>Center Fresh Chewing Gum</t>
  </si>
  <si>
    <t>LS-000290</t>
  </si>
  <si>
    <t>Isubgul</t>
  </si>
  <si>
    <t>LS-000291</t>
  </si>
  <si>
    <t>Tastemaker - Tasting Salt</t>
  </si>
  <si>
    <t>LS-000292</t>
  </si>
  <si>
    <t>Mentos</t>
  </si>
  <si>
    <t>LS-000293</t>
  </si>
  <si>
    <t>Meridian Chicken Chips</t>
  </si>
  <si>
    <t>LS-000294</t>
  </si>
  <si>
    <t>Meridian Shrimp Chips</t>
  </si>
  <si>
    <t>LS-000295</t>
  </si>
  <si>
    <t>Real Potato Chips (American Tomato)</t>
  </si>
  <si>
    <t>LS-000296</t>
  </si>
  <si>
    <t>Chicken Sticks -1</t>
  </si>
  <si>
    <t>LS-000297</t>
  </si>
  <si>
    <t>Nimki Small</t>
  </si>
  <si>
    <t>LS-000298</t>
  </si>
  <si>
    <t>Nimki Big</t>
  </si>
  <si>
    <t>LS-000299</t>
  </si>
  <si>
    <t>Eggs - Red (Loose)</t>
  </si>
  <si>
    <t>LS-000300</t>
  </si>
  <si>
    <t>Eggs - White (Loose)</t>
  </si>
  <si>
    <t>LS-000301</t>
  </si>
  <si>
    <t>Radhuni BBQ Masala 50gm</t>
  </si>
  <si>
    <t>Spices</t>
  </si>
  <si>
    <t>LS-000302</t>
  </si>
  <si>
    <t>Radhuni Biriyani Masala 40gm</t>
  </si>
  <si>
    <t>LS-000303</t>
  </si>
  <si>
    <t>Radhuni Borhani Masala 50gm</t>
  </si>
  <si>
    <t>LS-000304</t>
  </si>
  <si>
    <t>Radhuni Chicken Tandoori 50gm</t>
  </si>
  <si>
    <t>LS-000305</t>
  </si>
  <si>
    <t>Radhuni Chotpoti Masala 50gm</t>
  </si>
  <si>
    <t>LS-000306</t>
  </si>
  <si>
    <t>Radhuni Chui Jhal Mangsho Masala 38gm</t>
  </si>
  <si>
    <t>LS-000307</t>
  </si>
  <si>
    <t>Radhuni Dhoniya Gura 500gm</t>
  </si>
  <si>
    <t>LS-000308</t>
  </si>
  <si>
    <t>Radhuni Dhoniya Gura 200gm</t>
  </si>
  <si>
    <t>LS-000309</t>
  </si>
  <si>
    <t>Radhuni Dhoniya Gura 100gm</t>
  </si>
  <si>
    <t>LS-000310</t>
  </si>
  <si>
    <t>Radhuni Dhoniya Gura 50gm</t>
  </si>
  <si>
    <t>LS-000311</t>
  </si>
  <si>
    <t>Radhuni Dhoniya Gura 15gm</t>
  </si>
  <si>
    <t>LS-000312</t>
  </si>
  <si>
    <t>Radhuni Fried Chicken Mix 75gm</t>
  </si>
  <si>
    <t>LS-000313</t>
  </si>
  <si>
    <t>Radhuni Fried Rice Mix 8gm</t>
  </si>
  <si>
    <t>LS-000314</t>
  </si>
  <si>
    <t>Radhuni Gorom Masala 40gm</t>
  </si>
  <si>
    <t>LS-000315</t>
  </si>
  <si>
    <t>Radhuni Gorom Masala Gura 15gm</t>
  </si>
  <si>
    <t>LS-000316</t>
  </si>
  <si>
    <t>Radhuni Gorur Mangsho Masala 100gm</t>
  </si>
  <si>
    <t>LS-000317</t>
  </si>
  <si>
    <t>Radhuni Gorur Masala 25gm</t>
  </si>
  <si>
    <t>LS-000318</t>
  </si>
  <si>
    <t>Radhuni Hasher Mangsho 33gm</t>
  </si>
  <si>
    <t>LS-000319</t>
  </si>
  <si>
    <t>Radhuni Holud Gura 500gm</t>
  </si>
  <si>
    <t>LS-000320</t>
  </si>
  <si>
    <t>Radhuni Holud Gura 200gm</t>
  </si>
  <si>
    <t>LS-000321</t>
  </si>
  <si>
    <t>Radhuni Holud Gura 100gm</t>
  </si>
  <si>
    <t>LS-000322</t>
  </si>
  <si>
    <t>Radhuni Holud Gura 50gm</t>
  </si>
  <si>
    <t>LS-000323</t>
  </si>
  <si>
    <t>Radhuni Holud Gura 25gm</t>
  </si>
  <si>
    <t>LS-000324</t>
  </si>
  <si>
    <t>Radhuni Jira Gura 200gm</t>
  </si>
  <si>
    <t>LS-000325</t>
  </si>
  <si>
    <t>Radhuni Jira Gura 100gm</t>
  </si>
  <si>
    <t>LS-000326</t>
  </si>
  <si>
    <t>Radhuni Jira Gura 50gm</t>
  </si>
  <si>
    <t>LS-000327</t>
  </si>
  <si>
    <t>Radhuni Jira Gura 15gm</t>
  </si>
  <si>
    <t>LS-000328</t>
  </si>
  <si>
    <t>Radhuni Kabab Masala 50gm</t>
  </si>
  <si>
    <t>LS-000329</t>
  </si>
  <si>
    <t>Radhuni Kacchi Biriyani Masala 40gm</t>
  </si>
  <si>
    <t>LS-000330</t>
  </si>
  <si>
    <t>Radhuni Kala Bhuna 80gm</t>
  </si>
  <si>
    <t>LS-000331</t>
  </si>
  <si>
    <t>Radhuni Kasundi 285ml</t>
  </si>
  <si>
    <t>LS-000332</t>
  </si>
  <si>
    <t>Radhuni Korma Masala 30gm</t>
  </si>
  <si>
    <t>LS-000333</t>
  </si>
  <si>
    <t>Radhuni Macher Masala 20gm</t>
  </si>
  <si>
    <t>LS-000334</t>
  </si>
  <si>
    <t>Radhuni Mangsho Masala 100gm</t>
  </si>
  <si>
    <t>LS-000335</t>
  </si>
  <si>
    <t>Radhuni Mezbani Gorur Masala 68gm</t>
  </si>
  <si>
    <t>LS-000336</t>
  </si>
  <si>
    <t>Radhuni Morich Gura 500gm</t>
  </si>
  <si>
    <t>LS-000337</t>
  </si>
  <si>
    <t>Radhuni Morich Gura 200gm</t>
  </si>
  <si>
    <t>LS-000338</t>
  </si>
  <si>
    <t>Radhuni Morich Gura 100gm</t>
  </si>
  <si>
    <t>LS-000339</t>
  </si>
  <si>
    <t>Radhuni Morich Gura 50gm</t>
  </si>
  <si>
    <t>LS-000340</t>
  </si>
  <si>
    <t>Radhuni Morich Gura 25gm</t>
  </si>
  <si>
    <t>LS-000341</t>
  </si>
  <si>
    <t>Radhuni Murgi Mangsho 20gm</t>
  </si>
  <si>
    <t>LS-000342</t>
  </si>
  <si>
    <t>Radhuni Murgir Masala 100gm</t>
  </si>
  <si>
    <t>LS-000343</t>
  </si>
  <si>
    <t>Radhuni Panch Phoron 50gm</t>
  </si>
  <si>
    <t>LS-000344</t>
  </si>
  <si>
    <t>Radhuni Premium Ghee 200gm</t>
  </si>
  <si>
    <t>LS-000345</t>
  </si>
  <si>
    <t>Radhuni Premium Ghee 100gm</t>
  </si>
  <si>
    <t>LS-000346</t>
  </si>
  <si>
    <t>Radhuni Roast Masala 35gm</t>
  </si>
  <si>
    <t>LS-000347</t>
  </si>
  <si>
    <t>Radhuni Shorisha Oil 1ltr</t>
  </si>
  <si>
    <t>LS-000348</t>
  </si>
  <si>
    <t>Radhuni Shorisha Oil 500ml</t>
  </si>
  <si>
    <t>LS-000349</t>
  </si>
  <si>
    <t>Radhuni Shorisha Oil 250ml</t>
  </si>
  <si>
    <t>LS-000350</t>
  </si>
  <si>
    <t>Radhuni Shorisha Oil 80ml</t>
  </si>
  <si>
    <t>LS-000351</t>
  </si>
  <si>
    <t>Radhuni Sunflower Oil 1ltr</t>
  </si>
  <si>
    <t>LS-000352</t>
  </si>
  <si>
    <t>Radhuni Tehari Masala 40gm</t>
  </si>
  <si>
    <t>LS-000353</t>
  </si>
  <si>
    <t>Radhuni Vinegar 540ml</t>
  </si>
  <si>
    <t>LS-000354</t>
  </si>
  <si>
    <t>Radhuni Vinegar 280ml</t>
  </si>
  <si>
    <t>LS-000355</t>
  </si>
  <si>
    <t>Radhuni Panch Phoron Powder</t>
  </si>
  <si>
    <t>LS-000356</t>
  </si>
  <si>
    <t>Aarong Liquid Milk 1ltr</t>
  </si>
  <si>
    <t>LS-000357</t>
  </si>
  <si>
    <t>Aarong Standardized Milk 500ml</t>
  </si>
  <si>
    <t>LS-000358</t>
  </si>
  <si>
    <t>Dairy Milk 10RS</t>
  </si>
  <si>
    <t>LS-000359</t>
  </si>
  <si>
    <t>Dairy Milk 18gm</t>
  </si>
  <si>
    <t>LS-000360</t>
  </si>
  <si>
    <t>Dairy Milk 40gm</t>
  </si>
  <si>
    <t>LS-000361</t>
  </si>
  <si>
    <t>Dairy Milk Bubbly 46gm</t>
  </si>
  <si>
    <t>LS-000362</t>
  </si>
  <si>
    <t>Dairy Milk Crispello 19gm</t>
  </si>
  <si>
    <t>LS-000363</t>
  </si>
  <si>
    <t>Dairy Milk Fuse 21gm</t>
  </si>
  <si>
    <t>LS-000364</t>
  </si>
  <si>
    <t>⁠Dairy Milk Hazelnut 54gm</t>
  </si>
  <si>
    <t>LS-000365</t>
  </si>
  <si>
    <t>Dairy Milk Oreo 58gm</t>
  </si>
  <si>
    <t>LS-000366</t>
  </si>
  <si>
    <t>Dairy Milk Perk</t>
  </si>
  <si>
    <t>LS-000367</t>
  </si>
  <si>
    <t>⁠Dairy Milk Roast Almond 52gm</t>
  </si>
  <si>
    <t>LS-000368</t>
  </si>
  <si>
    <t>Dairy Milk Silk 55gm</t>
  </si>
  <si>
    <t>LS-000369</t>
  </si>
  <si>
    <t>Dairy Milk Silk Fruit &amp; Nut 55gm</t>
  </si>
  <si>
    <t>LS-000370</t>
  </si>
  <si>
    <t>Tang Orange Jar 750gm</t>
  </si>
  <si>
    <t>LS-000371</t>
  </si>
  <si>
    <t>Tang Orange Refill Pack 200gm</t>
  </si>
  <si>
    <t>LS-000372</t>
  </si>
  <si>
    <t>Tang Orange Refill Pack 500gm</t>
  </si>
  <si>
    <t>LS-000373</t>
  </si>
  <si>
    <t>Marks Powder 500gm</t>
  </si>
  <si>
    <t>LS-000374</t>
  </si>
  <si>
    <t>Marks Powder 250gm</t>
  </si>
  <si>
    <t>LS-000375</t>
  </si>
  <si>
    <t>Marks Powder 1000gm</t>
  </si>
  <si>
    <t>LS-000376</t>
  </si>
  <si>
    <t>Marks Powder 75gm</t>
  </si>
  <si>
    <t>LS-000377</t>
  </si>
  <si>
    <t>Marks Powder 15gm</t>
  </si>
  <si>
    <t>LS-000378</t>
  </si>
  <si>
    <t>Marks Powder 8gm</t>
  </si>
  <si>
    <t>LS-000379</t>
  </si>
  <si>
    <t>AMA 3 in 1 Coffee Mix 14gm</t>
  </si>
  <si>
    <t>LS-000380</t>
  </si>
  <si>
    <t>AMA Classic Coffee 1gm</t>
  </si>
  <si>
    <t>LS-000381</t>
  </si>
  <si>
    <t>Seylon Green Tea 1.5gm</t>
  </si>
  <si>
    <t>LS-000382</t>
  </si>
  <si>
    <t>Seylon Tea Bag Pyramid 2gm</t>
  </si>
  <si>
    <t>LS-000383</t>
  </si>
  <si>
    <t>Seylon Cha Pata 500gm</t>
  </si>
  <si>
    <t>LS-000384</t>
  </si>
  <si>
    <t>Seylon Cha Pata 250gm</t>
  </si>
  <si>
    <t>LS-000385</t>
  </si>
  <si>
    <t>Bashundhara Facial tissue box 150pcs</t>
  </si>
  <si>
    <t>LS-000386</t>
  </si>
  <si>
    <t>Bashundhara Facial tissue box 120pcs</t>
  </si>
  <si>
    <t>LS-000387</t>
  </si>
  <si>
    <t>Bashundhara Facial tissue box 100pcs</t>
  </si>
  <si>
    <t>LS-000388</t>
  </si>
  <si>
    <t>Bashundhara Pocket Tissue Wallet (Per Hanger)</t>
  </si>
  <si>
    <t>LS-000389</t>
  </si>
  <si>
    <t>Bashundhara Toilet Tissue (White)</t>
  </si>
  <si>
    <t>LS-000390</t>
  </si>
  <si>
    <t>Bashundhara Toilet Tissue (Gold)</t>
  </si>
  <si>
    <t>LS-000391</t>
  </si>
  <si>
    <t>Bashundhara Paper Napkin 100 sheets</t>
  </si>
  <si>
    <t>LS-000392</t>
  </si>
  <si>
    <t>Bashundhara Restaurant Napkin</t>
  </si>
  <si>
    <t>LS-000393</t>
  </si>
  <si>
    <t>Bashundhara Hand Towel 250 Box</t>
  </si>
  <si>
    <t>LS-000394</t>
  </si>
  <si>
    <t>Bashundhara Hand Towel 250 Poly</t>
  </si>
  <si>
    <t>LS-000395</t>
  </si>
  <si>
    <t>Bashundhara Hand Towel White 150pcs</t>
  </si>
  <si>
    <t>LS-000396</t>
  </si>
  <si>
    <t>Bashundhara Kitchen Towel</t>
  </si>
  <si>
    <t>LS-000397</t>
  </si>
  <si>
    <t>Mojo 250ml</t>
  </si>
  <si>
    <t>LS-000398</t>
  </si>
  <si>
    <t>Mojo 500ml</t>
  </si>
  <si>
    <t>LS-000399</t>
  </si>
  <si>
    <t>Baby Oats Health Paradise</t>
  </si>
  <si>
    <t>Baby Care</t>
  </si>
  <si>
    <t>LS-000400</t>
  </si>
  <si>
    <t>Sneakers</t>
  </si>
  <si>
    <t>LS-000401</t>
  </si>
  <si>
    <t>Safari</t>
  </si>
  <si>
    <t>LS-000402</t>
  </si>
  <si>
    <t>Dettol Bodywash</t>
  </si>
  <si>
    <t>LS-000403</t>
  </si>
  <si>
    <t>⁠Starship Chocolate Milk 200ml</t>
  </si>
  <si>
    <t>LS-000404</t>
  </si>
  <si>
    <t>⁠Starship Jhal Chanachur 300gm</t>
  </si>
  <si>
    <t>LS-000405</t>
  </si>
  <si>
    <t>Starship Milkshake Cookies 200ml</t>
  </si>
  <si>
    <t>LS-000406</t>
  </si>
  <si>
    <t>⁠Aril Assorted Lollipop</t>
  </si>
  <si>
    <t>LS-000407</t>
  </si>
  <si>
    <t>Aril Chewing Gum Box 75pcs</t>
  </si>
  <si>
    <t>LS-000408</t>
  </si>
  <si>
    <t>Coffee Bite Jar</t>
  </si>
  <si>
    <t>LS-000409</t>
  </si>
  <si>
    <t>Transtec LED Bright 15w Pin</t>
  </si>
  <si>
    <t>Electronics</t>
  </si>
  <si>
    <t>LS-000410</t>
  </si>
  <si>
    <t>Transtec LED Bright 18w Pin</t>
  </si>
  <si>
    <t>LS-000411</t>
  </si>
  <si>
    <t>Transtac LED Bright 18w Churi</t>
  </si>
  <si>
    <t>LS-000412</t>
  </si>
  <si>
    <t>Transtec LED Bright 13w Churi</t>
  </si>
  <si>
    <t>LS-000413</t>
  </si>
  <si>
    <t>Transtec LED Bright 9w Pin</t>
  </si>
  <si>
    <t>LS-000414</t>
  </si>
  <si>
    <t>Transtec Backup 10w Churi</t>
  </si>
  <si>
    <t>LS-000415</t>
  </si>
  <si>
    <t>Transtec Backup 10w Pin</t>
  </si>
  <si>
    <t>LS-000416</t>
  </si>
  <si>
    <t>Transtec Backup 15w Pin</t>
  </si>
  <si>
    <t>LS-000417</t>
  </si>
  <si>
    <t>Transtec Backup 15w Churi</t>
  </si>
  <si>
    <t>LS-000418</t>
  </si>
  <si>
    <t>Transtec Mosquito Bat</t>
  </si>
  <si>
    <t>LS-000419</t>
  </si>
  <si>
    <t>Savoy Chocbar</t>
  </si>
  <si>
    <t>Ice Cream</t>
  </si>
  <si>
    <t>LS-000420</t>
  </si>
  <si>
    <t>Savoy Crunchybar</t>
  </si>
  <si>
    <t>LS-000421</t>
  </si>
  <si>
    <t>Savoy Lolly (lemon)</t>
  </si>
  <si>
    <t>LS-000422</t>
  </si>
  <si>
    <t>Savoy Shell &amp; Core</t>
  </si>
  <si>
    <t>LS-000423</t>
  </si>
  <si>
    <t>Savoy Chocolate Cone</t>
  </si>
  <si>
    <t>LS-000424</t>
  </si>
  <si>
    <t>Savoy Discone</t>
  </si>
  <si>
    <t>LS-000425</t>
  </si>
  <si>
    <t>Savoy Dark Desire 1kg</t>
  </si>
  <si>
    <t>LS-000426</t>
  </si>
  <si>
    <t>Savoy Golden 1kg</t>
  </si>
  <si>
    <t>LS-000427</t>
  </si>
  <si>
    <t>Savoy Vanilla 1kg</t>
  </si>
  <si>
    <t>LS-000428</t>
  </si>
  <si>
    <t>Igloo Shell &amp; Core</t>
  </si>
  <si>
    <t>LS-000429</t>
  </si>
  <si>
    <t>Igloo Lolly (orange)</t>
  </si>
  <si>
    <t>LS-000430</t>
  </si>
  <si>
    <t>Igloo Macho</t>
  </si>
  <si>
    <t>LS-000431</t>
  </si>
  <si>
    <t>Igloo Vanilla (cup)</t>
  </si>
  <si>
    <t>LS-000432</t>
  </si>
  <si>
    <t>Igloo Firni (cup)</t>
  </si>
  <si>
    <t>LS-000433</t>
  </si>
  <si>
    <t>Igloo Vanilla (1/2 L)</t>
  </si>
  <si>
    <t>LS-000434</t>
  </si>
  <si>
    <t>Igloo Strawberry (1/2 L)</t>
  </si>
  <si>
    <t>LS-000435</t>
  </si>
  <si>
    <t>Igloo Chocolate (1/2 L)</t>
  </si>
  <si>
    <t>LS-000436</t>
  </si>
  <si>
    <t>Igloo Vanilla 1L</t>
  </si>
  <si>
    <t>LS-000437</t>
  </si>
  <si>
    <t>Igloo Strawberry 1L</t>
  </si>
  <si>
    <t>LS-000438</t>
  </si>
  <si>
    <t>Igloo Chocolate 1L</t>
  </si>
  <si>
    <t>LS-000439</t>
  </si>
  <si>
    <t>Igloo Firni 1L</t>
  </si>
  <si>
    <t>LS-000440</t>
  </si>
  <si>
    <t>Igloo Doi 1L</t>
  </si>
  <si>
    <t>LS-000441</t>
  </si>
  <si>
    <t>Igloo French Vanilla 1L</t>
  </si>
  <si>
    <t>LS-000442</t>
  </si>
  <si>
    <t>Igloo Mango Melody 1L</t>
  </si>
  <si>
    <t>LS-000443</t>
  </si>
  <si>
    <t>Igloo Cake 1L</t>
  </si>
  <si>
    <t>LS-000444</t>
  </si>
  <si>
    <t>Maltova Baking Powder 100g</t>
  </si>
  <si>
    <t>LS-000445</t>
  </si>
  <si>
    <t>Haiko Agar Agar - 20g</t>
  </si>
  <si>
    <t>LS-000446</t>
  </si>
  <si>
    <t>Regard Keora Water (Glass) - 200ml</t>
  </si>
  <si>
    <t>LS-000447</t>
  </si>
  <si>
    <t>Dano Sterilized Cream - 160g</t>
  </si>
  <si>
    <t>LS-000448</t>
  </si>
  <si>
    <t>Mars Fruit &amp; Nut Chocolate - 32g</t>
  </si>
  <si>
    <t>LS-000449</t>
  </si>
  <si>
    <t>Snickers Fruit &amp; Nut Chocolate - 32g</t>
  </si>
  <si>
    <t>LS-000450</t>
  </si>
  <si>
    <t>Nivea Fresh Natural Roll On - 50ml</t>
  </si>
  <si>
    <t>LS-000451</t>
  </si>
  <si>
    <t>Rexona Motionsense Advanced Brightening Roll On - 50ml</t>
  </si>
  <si>
    <t>LS-000452</t>
  </si>
  <si>
    <t>Axe Black Deodorant Body Spray -150ml</t>
  </si>
  <si>
    <t>LS-000453</t>
  </si>
  <si>
    <t>Axe Apollo Deodorant Body Spray</t>
  </si>
  <si>
    <t>LS-000454</t>
  </si>
  <si>
    <t>Paprika Powder - 15g</t>
  </si>
  <si>
    <t>LS-000455</t>
  </si>
  <si>
    <t>Vim Jumbo Size Steel Scourer - (2 Pkt Bundle)</t>
  </si>
  <si>
    <t>Cleaning Supply</t>
  </si>
  <si>
    <t>LS-000456</t>
  </si>
  <si>
    <t>Pampers Sensitive Fragrance Free Baby Wipes - 52 Pieces</t>
  </si>
  <si>
    <t>LS-000457</t>
  </si>
  <si>
    <t>Mabroom Premium Dates - 500G</t>
  </si>
  <si>
    <t>LS-000458</t>
  </si>
  <si>
    <t>Movilcell M15 Fast Charging Cable TypeC 5A Output</t>
  </si>
  <si>
    <t>LS-000459</t>
  </si>
  <si>
    <t>MI 9se 18W Quick Charger 3.0 With Power Adapter</t>
  </si>
  <si>
    <t>LS-000460</t>
  </si>
  <si>
    <t>Safe Touch 0032 5Port 2m Cable Multiplug Heavy Duty White</t>
  </si>
  <si>
    <t>LS-000461</t>
  </si>
  <si>
    <t>Safe Touch 0034 4Port 5m Cable Multiplug Heavy Duty White</t>
  </si>
  <si>
    <t>LS-000462</t>
  </si>
  <si>
    <t>Safe Touch 0032 5Port 5m Cable Multiplug Heavy Duty White</t>
  </si>
  <si>
    <t>LS-000463</t>
  </si>
  <si>
    <t>Kodomo Toothpaste Orange Cream - 40g</t>
  </si>
  <si>
    <t>LS-000464</t>
  </si>
  <si>
    <t>Twinings Pure Green Tea 25 Bags - 50g</t>
  </si>
  <si>
    <t>LS-000465</t>
  </si>
  <si>
    <t>Twinings Green Tea &amp; Ginger 20 Bags - 40g</t>
  </si>
  <si>
    <t>LS-000466</t>
  </si>
  <si>
    <t>Ispahani Blenders Choice Premium Black Tea - 400g</t>
  </si>
  <si>
    <t>LS-000467</t>
  </si>
  <si>
    <t>Twinings Green Tea Jasmine - 25 Bags</t>
  </si>
  <si>
    <t>LS-000468</t>
  </si>
  <si>
    <t>Patabahar Coil - 1Pac</t>
  </si>
  <si>
    <t>LS-000469</t>
  </si>
  <si>
    <t>Samyang Hot Chicken Flavor Carbo Ramen Noodles Cup - 80g</t>
  </si>
  <si>
    <t>LS-000470</t>
  </si>
  <si>
    <t>Avonee Pant Style Baby Diaper (9-14Kg) - L 48pcs</t>
  </si>
  <si>
    <t>LS-000471</t>
  </si>
  <si>
    <t>Dano Sterilized Cream - 170g</t>
  </si>
  <si>
    <t>LS-000472</t>
  </si>
  <si>
    <t>Cadbury Cocoa Powder Packet - 125g</t>
  </si>
  <si>
    <t>Baking Needs</t>
  </si>
  <si>
    <t>LS-000473</t>
  </si>
  <si>
    <t>Rayners Corn Flour - 400g</t>
  </si>
  <si>
    <t>LS-000474</t>
  </si>
  <si>
    <t>Foster Clarks Baking Powder - 225gm</t>
  </si>
  <si>
    <t>LS-000475</t>
  </si>
  <si>
    <t>Chupa Chups Best of Lollipops (6Pcs Bundle) - 72g</t>
  </si>
  <si>
    <t>LS-000476</t>
  </si>
  <si>
    <t>Rexona Men Advanced Invisible Dry Roll On - 45ml</t>
  </si>
  <si>
    <t>LS-000477</t>
  </si>
  <si>
    <t>Kikkoman All Purpose Seasoning Soy Sauce - 1ltr</t>
  </si>
  <si>
    <t>LS-000478</t>
  </si>
  <si>
    <t>Ispahani blenders choice premium green tea - 35g</t>
  </si>
  <si>
    <t>LS-000479</t>
  </si>
  <si>
    <t>Mohammad Yeast</t>
  </si>
  <si>
    <t>LS-000480</t>
  </si>
  <si>
    <t>Saf Instant Yeast - 100g</t>
  </si>
  <si>
    <t>LS-000481</t>
  </si>
  <si>
    <t>Mohammad Baking Soda - 86g</t>
  </si>
  <si>
    <t>LS-000482</t>
  </si>
  <si>
    <t>Yardley London English Blossom Deodorant Roll On - 50ml</t>
  </si>
  <si>
    <t>LS-000483</t>
  </si>
  <si>
    <t>Haiko Bit Salt Powder - 80g</t>
  </si>
  <si>
    <t>LS-000484</t>
  </si>
  <si>
    <t>Axe Musk Deodorant Body Spray - 150ml</t>
  </si>
  <si>
    <t>LS-000485</t>
  </si>
  <si>
    <t>Freedom Sanitary Napkin Heavy Flow Wings - 16Pads</t>
  </si>
  <si>
    <t>LS-000486</t>
  </si>
  <si>
    <t>Ispahani Mirzapore Tea Bag - 50p</t>
  </si>
  <si>
    <t>LS-000487</t>
  </si>
  <si>
    <t>Awei Data Cable Micro USB (CL-115M)</t>
  </si>
  <si>
    <t>LS-000488</t>
  </si>
  <si>
    <t>Twinings Green Tea &amp; lemon - 25 Bags</t>
  </si>
  <si>
    <t>LS-000489</t>
  </si>
  <si>
    <t>Twinings Green Tea Earl Grey 20 Bags - 40g</t>
  </si>
  <si>
    <t>LS-000490</t>
  </si>
  <si>
    <t>Samyang Extreme Hot Chicken Ramen Noodles Cup - 70g</t>
  </si>
  <si>
    <t>LS-000491</t>
  </si>
  <si>
    <t>ABC Cup Hot Gulai Chicken Flavour - 60g</t>
  </si>
  <si>
    <t>LS-000492</t>
  </si>
  <si>
    <t>Ispahani Blenders Choice Premium Black Tea - 200g</t>
  </si>
  <si>
    <t>LS-000493</t>
  </si>
  <si>
    <t>Kodomo Bubble Fruit Toothpaste Gel Ultra Shield Formula (0.5 Years Up) - 40g</t>
  </si>
  <si>
    <t>LS-000494</t>
  </si>
  <si>
    <t>Maxline ML-073 Multi Color Multiplug 3 Port with 3M Cable</t>
  </si>
  <si>
    <t>LS-000495</t>
  </si>
  <si>
    <t>Rangdhanu Mixed Herbs - 30g (Exp01.23)</t>
  </si>
  <si>
    <t>LS-000496</t>
  </si>
  <si>
    <t>Nido 3+ 350g BiB</t>
  </si>
  <si>
    <t>LS-000497</t>
  </si>
  <si>
    <t>Nido Fortigo 350g</t>
  </si>
  <si>
    <t>LS-000498</t>
  </si>
  <si>
    <t>Nido Family Choice 500g Pouch</t>
  </si>
  <si>
    <t>LS-000499</t>
  </si>
  <si>
    <t>Maggi Fun Pack 992g</t>
  </si>
  <si>
    <t>LS-000500</t>
  </si>
  <si>
    <t>Maggi Thai Soup 35g</t>
  </si>
  <si>
    <t>LS-000501</t>
  </si>
  <si>
    <t>Maggi Corn Soup 25g</t>
  </si>
  <si>
    <t>LS-000502</t>
  </si>
  <si>
    <t>Maggi Vegetable Soup 25g</t>
  </si>
  <si>
    <t>LS-000503</t>
  </si>
  <si>
    <t>Maggi Shaad-E-Magic 4g</t>
  </si>
  <si>
    <t>LS-000504</t>
  </si>
  <si>
    <t>Maggi 496g (Masala Flavour)</t>
  </si>
  <si>
    <t>LS-000505</t>
  </si>
  <si>
    <t>Maggi Chicken Sizzling 8g</t>
  </si>
  <si>
    <t>LS-000506</t>
  </si>
  <si>
    <t>Maggi Fried Chicken 400g</t>
  </si>
  <si>
    <t>LS-000507</t>
  </si>
  <si>
    <t>Nescafe Americano 8g sachet</t>
  </si>
  <si>
    <t>LS-000508</t>
  </si>
  <si>
    <t>Nescafe 3in1 14g sachet</t>
  </si>
  <si>
    <t>LS-000509</t>
  </si>
  <si>
    <t>Nescafe Hazelnut Latte</t>
  </si>
  <si>
    <t>LS-000510</t>
  </si>
  <si>
    <t>Nescafe Classic 200g Pouch</t>
  </si>
  <si>
    <t>LS-000511</t>
  </si>
  <si>
    <t>Lactogen 1350g</t>
  </si>
  <si>
    <t>LS-000512</t>
  </si>
  <si>
    <t>Lactogen 2 350g</t>
  </si>
  <si>
    <t>LS-000513</t>
  </si>
  <si>
    <t>Lactogen 3 350g</t>
  </si>
  <si>
    <t>LS-000514</t>
  </si>
  <si>
    <t>Nan Opti Pro 1 300g</t>
  </si>
  <si>
    <t>LS-000515</t>
  </si>
  <si>
    <t>Nan Opti Pro 2 350g</t>
  </si>
  <si>
    <t>LS-000516</t>
  </si>
  <si>
    <t>Nan Opti Pro 3 350g</t>
  </si>
  <si>
    <t>LS-000517</t>
  </si>
  <si>
    <t>Cerelac Stage 1 Rice 350g</t>
  </si>
  <si>
    <t>LS-000518</t>
  </si>
  <si>
    <t>Cerelace Stage 1 Three Fruits 350g</t>
  </si>
  <si>
    <t>LS-000519</t>
  </si>
  <si>
    <t>Cerelac Stage II Apply Cherry 350g</t>
  </si>
  <si>
    <t>LS-000520</t>
  </si>
  <si>
    <t>Cerelac Stage II Chicken Scoop 350g</t>
  </si>
  <si>
    <t>LS-000521</t>
  </si>
  <si>
    <t>Cerelac Stage III Four Fruit 350g</t>
  </si>
  <si>
    <t>LS-000522</t>
  </si>
  <si>
    <t>Cerelac Stage IV Chicken 350g</t>
  </si>
  <si>
    <t>LS-000523</t>
  </si>
  <si>
    <t>Cerelac Stage V Multifruit 350g</t>
  </si>
  <si>
    <t>LS-000524</t>
  </si>
  <si>
    <t>Cerelac Stage I Wheat 350g</t>
  </si>
  <si>
    <t>LS-000525</t>
  </si>
  <si>
    <t>Nido 1+ 350g</t>
  </si>
  <si>
    <t>LS-000526</t>
  </si>
  <si>
    <t>Nescafe Classic 180g Jar</t>
  </si>
  <si>
    <t>LS-000527</t>
  </si>
  <si>
    <t>Nescafe Classic 90g Jar</t>
  </si>
  <si>
    <t>LS-000528</t>
  </si>
  <si>
    <t>Nescafe Creamy Latte 18g Sachet</t>
  </si>
  <si>
    <t>LS-000529</t>
  </si>
  <si>
    <t>Nescafe Classic 45g Jar</t>
  </si>
  <si>
    <t>LS-000530</t>
  </si>
  <si>
    <t>Nescafe Classic 0.9g Sachet</t>
  </si>
  <si>
    <t>LS-000531</t>
  </si>
  <si>
    <t>Nescafe Sunrise 3in1 10g Sachet (FREE)</t>
  </si>
  <si>
    <t>LS-000532</t>
  </si>
  <si>
    <t>Nescafe Sunrise 3in1 10g</t>
  </si>
  <si>
    <t>LS-000533</t>
  </si>
  <si>
    <t>Nestea Ice Tea 18g</t>
  </si>
  <si>
    <t>LS-000534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</si>
</sst>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b/>
      <color rgb="FFFFFFFF"/>
      <name val="Arial"/>
    </font>
    <font>
      <color theme="1"/>
      <name val="Arial"/>
      <scheme val="minor"/>
    </font>
    <font>
      <color rgb="FF000000"/>
      <name val="Arial"/>
    </font>
  </fonts>
  <fills count="3">
    <fill>
      <patternFill patternType="none"/>
    </fill>
    <fill>
      <patternFill patternType="lightGray"/>
    </fill>
    <fill>
      <patternFill patternType="solid">
        <fgColor rgb="FF3AB98D"/>
        <bgColor rgb="FF3AB98D"/>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Font="1"/>
    <xf borderId="0" fillId="0" fontId="2" numFmtId="2" xfId="0" applyFont="1" applyNumberFormat="1"/>
    <xf borderId="0" fillId="0" fontId="2" numFmtId="1" xfId="0" applyFont="1" applyNumberFormat="1"/>
    <xf borderId="0" fillId="0" fontId="3" numFmtId="0" xfId="0" applyAlignment="1" applyFont="1">
      <alignment readingOrder="0" shrinkToFit="0" vertical="bottom" wrapText="0"/>
    </xf>
    <xf borderId="0" fillId="0" fontId="2" numFmtId="0" xfId="0" applyAlignment="1" applyFont="1">
      <alignment shrinkToFit="0" wrapText="1"/>
    </xf>
    <xf borderId="0" fillId="0" fontId="3" numFmtId="0" xfId="0" applyAlignment="1" applyFont="1">
      <alignment shrinkToFit="0" vertical="bottom" wrapText="0"/>
    </xf>
    <xf borderId="0" fillId="0" fontId="2" numFmtId="0" xfId="0" applyAlignment="1" applyFont="1">
      <alignment readingOrder="0"/>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17.5"/>
    <col customWidth="1" min="3" max="3" width="17.0"/>
    <col customWidth="1" min="8" max="8" width="36.88"/>
  </cols>
  <sheetData>
    <row r="1">
      <c r="A1" s="1" t="s">
        <v>0</v>
      </c>
      <c r="B1" s="1" t="s">
        <v>1</v>
      </c>
      <c r="C1" s="1" t="s">
        <v>2</v>
      </c>
      <c r="D1" s="1" t="s">
        <v>3</v>
      </c>
      <c r="E1" s="1" t="s">
        <v>4</v>
      </c>
      <c r="F1" s="1" t="s">
        <v>5</v>
      </c>
      <c r="G1" s="1" t="s">
        <v>6</v>
      </c>
      <c r="H1" s="2" t="s">
        <v>7</v>
      </c>
    </row>
    <row r="2">
      <c r="A2" s="3" t="s">
        <v>8</v>
      </c>
      <c r="B2" s="3" t="s">
        <v>9</v>
      </c>
      <c r="C2" s="4">
        <v>139.34</v>
      </c>
      <c r="D2" s="3">
        <v>165.0</v>
      </c>
      <c r="E2" s="5">
        <v>6.0</v>
      </c>
      <c r="F2" s="3">
        <f t="shared" ref="F2:F375" si="1">E2*50%</f>
        <v>3</v>
      </c>
      <c r="G2" s="6" t="s">
        <v>10</v>
      </c>
      <c r="H2" s="7" t="str">
        <f>IFERROR(__xludf.DUMMYFUNCTION("AI(""Write a short product description under 300 characters for "" &amp; A2 &amp; "" in the "" &amp; B2 &amp; "" category"")"),"Indulge in the soothing blend of premium tea leaves infused with the natural sweetness of real honey. Each 25g pack contains individually wrapped tea bags, perfect for a refreshing hot brew or a crisp iced tea. Enjoy a delicate floral aroma and a smooth, "&amp;"sweet finish in every cup.")</f>
        <v>Indulge in the soothing blend of premium tea leaves infused with the natural sweetness of real honey. Each 25g pack contains individually wrapped tea bags, perfect for a refreshing hot brew or a crisp iced tea. Enjoy a delicate floral aroma and a smooth, sweet finish in every cup.</v>
      </c>
    </row>
    <row r="3">
      <c r="A3" s="3" t="s">
        <v>11</v>
      </c>
      <c r="B3" s="3" t="s">
        <v>9</v>
      </c>
      <c r="C3" s="4">
        <v>131.2</v>
      </c>
      <c r="D3" s="3">
        <v>155.0</v>
      </c>
      <c r="E3" s="5">
        <v>6.0</v>
      </c>
      <c r="F3" s="3">
        <f t="shared" si="1"/>
        <v>3</v>
      </c>
      <c r="G3" s="6" t="s">
        <v>12</v>
      </c>
      <c r="H3" s="7" t="str">
        <f>IFERROR(__xludf.DUMMYFUNCTION("AI(""Write a short product description under 300 characters for "" &amp; A3 &amp; "" in the "" &amp; B3 &amp; "" category"")"),"Experience the refreshing and light taste of Lipton Pure Green Tea. Made from 100% natural, hand-picked tea leaves, these 25 tea bags offer a delicate aroma and smooth flavor packed with antioxidants to soothe your soul and revitalize your day. Perfect fo"&amp;"r a healthy, zero-calorie break.")</f>
        <v>Experience the refreshing and light taste of Lipton Pure Green Tea. Made from 100% natural, hand-picked tea leaves, these 25 tea bags offer a delicate aroma and smooth flavor packed with antioxidants to soothe your soul and revitalize your day. Perfect for a healthy, zero-calorie break.</v>
      </c>
    </row>
    <row r="4">
      <c r="A4" s="3" t="s">
        <v>13</v>
      </c>
      <c r="B4" s="3" t="s">
        <v>9</v>
      </c>
      <c r="C4" s="4">
        <v>86.37</v>
      </c>
      <c r="D4" s="3">
        <v>95.0</v>
      </c>
      <c r="E4" s="5">
        <v>6.0</v>
      </c>
      <c r="F4" s="3">
        <f t="shared" si="1"/>
        <v>3</v>
      </c>
      <c r="G4" s="6" t="s">
        <v>14</v>
      </c>
      <c r="H4" s="7" t="str">
        <f>IFERROR(__xludf.DUMMYFUNCTION("AI(""Write a short product description under 300 characters for "" &amp; A4 &amp; "" in the "" &amp; B4 &amp; "" category"")"),"Taaza Tea Bags offer a refreshing and invigorating blend of high-quality tea leaves. Rich in natural theanine, this tea clears your mind and provides a robust flavor and aroma, making it the perfect choice for a quick, energizing cup of chai any time of d"&amp;"ay.")</f>
        <v>Taaza Tea Bags offer a refreshing and invigorating blend of high-quality tea leaves. Rich in natural theanine, this tea clears your mind and provides a robust flavor and aroma, making it the perfect choice for a quick, energizing cup of chai any time of day.</v>
      </c>
    </row>
    <row r="5">
      <c r="A5" s="3" t="s">
        <v>15</v>
      </c>
      <c r="B5" s="3" t="s">
        <v>9</v>
      </c>
      <c r="C5" s="4">
        <v>25.75</v>
      </c>
      <c r="D5" s="3">
        <v>29.7</v>
      </c>
      <c r="E5" s="5">
        <v>48.0</v>
      </c>
      <c r="F5" s="3">
        <f t="shared" si="1"/>
        <v>24</v>
      </c>
      <c r="G5" s="6" t="s">
        <v>16</v>
      </c>
      <c r="H5" s="7" t="str">
        <f>IFERROR(__xludf.DUMMYFUNCTION("AI(""Write a short product description under 300 characters for "" &amp; A5 &amp; "" in the "" &amp; B5 &amp; "" category"")"),"Brooke Bond Taaza Tea 50g offers a fresh, aromatic blend of high-quality tea leaves. This premium black tea provides a bold, invigorating flavor and a gentle energy boost, making it the perfect budget-friendly choice to refresh your mind and brighten your"&amp;" day.")</f>
        <v>Brooke Bond Taaza Tea 50g offers a fresh, aromatic blend of high-quality tea leaves. This premium black tea provides a bold, invigorating flavor and a gentle energy boost, making it the perfect budget-friendly choice to refresh your mind and brighten your day.</v>
      </c>
    </row>
    <row r="6">
      <c r="A6" s="3" t="s">
        <v>17</v>
      </c>
      <c r="B6" s="3" t="s">
        <v>9</v>
      </c>
      <c r="C6" s="4">
        <v>52.86</v>
      </c>
      <c r="D6" s="3">
        <v>60.8</v>
      </c>
      <c r="E6" s="5">
        <v>24.0</v>
      </c>
      <c r="F6" s="3">
        <f t="shared" si="1"/>
        <v>12</v>
      </c>
      <c r="G6" s="6" t="s">
        <v>18</v>
      </c>
      <c r="H6" s="7" t="str">
        <f>IFERROR(__xludf.DUMMYFUNCTION("AI(""Write a short product description under 300 characters for "" &amp; A6 &amp; "" in the "" &amp; B6 &amp; "" category"")"),"Brooke Bond Taaza Tea is a refreshing black tea made from high-quality green leaves rich in natural theanine. This 100g pack delivers a strong, invigorating aroma and a perfect balance of flavor to clear your mind and energize your morning.")</f>
        <v>Brooke Bond Taaza Tea is a refreshing black tea made from high-quality green leaves rich in natural theanine. This 100g pack delivers a strong, invigorating aroma and a perfect balance of flavor to clear your mind and energize your morning.</v>
      </c>
    </row>
    <row r="7">
      <c r="A7" s="3" t="s">
        <v>19</v>
      </c>
      <c r="B7" s="3" t="s">
        <v>9</v>
      </c>
      <c r="C7" s="4">
        <v>220.26</v>
      </c>
      <c r="D7" s="3">
        <v>250.0</v>
      </c>
      <c r="E7" s="5">
        <v>12.0</v>
      </c>
      <c r="F7" s="3">
        <f t="shared" si="1"/>
        <v>6</v>
      </c>
      <c r="G7" s="6" t="s">
        <v>20</v>
      </c>
      <c r="H7" s="7" t="str">
        <f>IFERROR(__xludf.DUMMYFUNCTION("AI(""Write a short product description under 300 characters for "" &amp; A7 &amp; "" in the "" &amp; B7 &amp; "" category"")"),"Experience the bold and refreshing taste of Taaza 400g Premium Black Tea. These carefully picked leaves are processed to maintain a rich aroma and full-bodied flavor. Perfect for brewing a traditional hot chai or a crisp iced tea, it's a natural way to bo"&amp;"ost your daily alertness.")</f>
        <v>Experience the bold and refreshing taste of Taaza 400g Premium Black Tea. These carefully picked leaves are processed to maintain a rich aroma and full-bodied flavor. Perfect for brewing a traditional hot chai or a crisp iced tea, it's a natural way to boost your daily alertness.</v>
      </c>
    </row>
    <row r="8">
      <c r="A8" s="3" t="s">
        <v>21</v>
      </c>
      <c r="B8" s="3" t="s">
        <v>9</v>
      </c>
      <c r="C8" s="4">
        <v>264.32</v>
      </c>
      <c r="D8" s="3">
        <v>300.0</v>
      </c>
      <c r="E8" s="5">
        <v>12.0</v>
      </c>
      <c r="F8" s="3">
        <f t="shared" si="1"/>
        <v>6</v>
      </c>
      <c r="G8" s="6" t="s">
        <v>22</v>
      </c>
      <c r="H8" s="7" t="str">
        <f>IFERROR(__xludf.DUMMYFUNCTION("AI(""Write a short product description under 300 characters for "" &amp; A8 &amp; "" in the "" &amp; B8 &amp; "" category"")"),"Brooke Bond Taaza Tea 500g is a refreshing blend of high-quality fresh green leaves. Rich in natural theanine, this strong black tea clears your mind and energizes your day with its vibrant aroma and robust flavor. Perfect for a morning boost or a mid-day"&amp;" pick-me-up.")</f>
        <v>Brooke Bond Taaza Tea 500g is a refreshing blend of high-quality fresh green leaves. Rich in natural theanine, this strong black tea clears your mind and energizes your day with its vibrant aroma and robust flavor. Perfect for a morning boost or a mid-day pick-me-up.</v>
      </c>
    </row>
    <row r="9">
      <c r="A9" s="3" t="s">
        <v>23</v>
      </c>
      <c r="B9" s="3" t="s">
        <v>9</v>
      </c>
      <c r="C9" s="4">
        <v>220.26</v>
      </c>
      <c r="D9" s="3">
        <v>250.0</v>
      </c>
      <c r="E9" s="5">
        <v>12.0</v>
      </c>
      <c r="F9" s="3">
        <f t="shared" si="1"/>
        <v>6</v>
      </c>
      <c r="G9" s="6" t="s">
        <v>24</v>
      </c>
      <c r="H9" s="7" t="str">
        <f>IFERROR(__xludf.DUMMYFUNCTION("AI(""Write a short product description under 300 characters for "" &amp; A9 &amp; "" in the "" &amp; B9 &amp; "" category"")"),"Brooke Bond Taaza 3 Star Tea offers a refreshing and strong blend of high-quality tea leaves. This 500g pack provides a rich aroma and deep color, perfect for an invigorating daily cup of chai that clears your mind and keeps you energetic. Sourced from th"&amp;"e finest gardens.")</f>
        <v>Brooke Bond Taaza 3 Star Tea offers a refreshing and strong blend of high-quality tea leaves. This 500g pack provides a rich aroma and deep color, perfect for an invigorating daily cup of chai that clears your mind and keeps you energetic. Sourced from the finest gardens.</v>
      </c>
    </row>
    <row r="10">
      <c r="A10" s="3" t="s">
        <v>25</v>
      </c>
      <c r="B10" s="3" t="s">
        <v>26</v>
      </c>
      <c r="C10" s="4">
        <v>156.0</v>
      </c>
      <c r="D10" s="3">
        <v>180.0</v>
      </c>
      <c r="E10" s="5">
        <v>3.0</v>
      </c>
      <c r="F10" s="3">
        <f t="shared" si="1"/>
        <v>1.5</v>
      </c>
      <c r="G10" s="6" t="s">
        <v>27</v>
      </c>
      <c r="H10" s="7" t="str">
        <f>IFERROR(__xludf.DUMMYFUNCTION("AI(""Write a short product description under 300 characters for "" &amp; A10 &amp; "" in the "" &amp; B10 &amp; "" category"")"),"Keep your family safe with the Godrej Good Knight Power Activ+ System. Featuring a dual-mode machine and powerful refill, it offers 2x power against mosquitoes. Switch to Activ mode for heavy infestations or Normal mode for consistent, long-lasting protec"&amp;"tion from dengue and malaria.")</f>
        <v>Keep your family safe with the Godrej Good Knight Power Activ+ System. Featuring a dual-mode machine and powerful refill, it offers 2x power against mosquitoes. Switch to Activ mode for heavy infestations or Normal mode for consistent, long-lasting protection from dengue and malaria.</v>
      </c>
    </row>
    <row r="11">
      <c r="A11" s="3" t="s">
        <v>28</v>
      </c>
      <c r="B11" s="3" t="s">
        <v>26</v>
      </c>
      <c r="C11" s="4">
        <v>80.0</v>
      </c>
      <c r="D11" s="3">
        <v>95.0</v>
      </c>
      <c r="E11" s="5">
        <v>3.0</v>
      </c>
      <c r="F11" s="3">
        <f t="shared" si="1"/>
        <v>1.5</v>
      </c>
      <c r="G11" s="6" t="s">
        <v>29</v>
      </c>
      <c r="H11" s="7" t="str">
        <f>IFERROR(__xludf.DUMMYFUNCTION("AI(""Write a short product description under 300 characters for "" &amp; A11 &amp; "" in the "" &amp; B11 &amp; "" category"")"),"Protect your home with the Godrej Good Knight Bullet Machine and Refill. This powerful pest control solution offers rapid action against mosquitoes, ensuring a peaceful, bite-free environment. Easy to use and highly effective, it provides long-lasting pro"&amp;"tection for you and your family.")</f>
        <v>Protect your home with the Godrej Good Knight Bullet Machine and Refill. This powerful pest control solution offers rapid action against mosquitoes, ensuring a peaceful, bite-free environment. Easy to use and highly effective, it provides long-lasting protection for you and your family.</v>
      </c>
    </row>
    <row r="12">
      <c r="A12" s="3" t="s">
        <v>30</v>
      </c>
      <c r="B12" s="3" t="s">
        <v>26</v>
      </c>
      <c r="C12" s="4">
        <v>107.0</v>
      </c>
      <c r="D12" s="3">
        <v>125.0</v>
      </c>
      <c r="E12" s="5">
        <v>6.0</v>
      </c>
      <c r="F12" s="3">
        <f t="shared" si="1"/>
        <v>3</v>
      </c>
      <c r="G12" s="6" t="s">
        <v>31</v>
      </c>
      <c r="H12" s="7" t="str">
        <f>IFERROR(__xludf.DUMMYFUNCTION("AI(""Write a short product description under 300 characters for "" &amp; A12 &amp; "" in the "" &amp; B12 &amp; "" category"")"),"Protect your family with Goodknight Refill Liquid (45ml). This powerful mosquito repellent provides up to 45 nights of effective protection against malaria, chikungunya, and dengue-carrying mosquitoes. Compatible with all Goodknight machines, it ensures a"&amp;" safe, smoke-free environment.")</f>
        <v>Protect your family with Goodknight Refill Liquid (45ml). This powerful mosquito repellent provides up to 45 nights of effective protection against malaria, chikungunya, and dengue-carrying mosquitoes. Compatible with all Goodknight machines, it ensures a safe, smoke-free environment.</v>
      </c>
    </row>
    <row r="13">
      <c r="A13" s="3" t="s">
        <v>32</v>
      </c>
      <c r="B13" s="3" t="s">
        <v>26</v>
      </c>
      <c r="C13" s="4">
        <v>175.0</v>
      </c>
      <c r="D13" s="3">
        <v>200.0</v>
      </c>
      <c r="E13" s="5">
        <v>1.0</v>
      </c>
      <c r="F13" s="3">
        <f t="shared" si="1"/>
        <v>0.5</v>
      </c>
      <c r="G13" s="6" t="s">
        <v>33</v>
      </c>
      <c r="H13" s="7" t="str">
        <f>IFERROR(__xludf.DUMMYFUNCTION("AI(""Write a short product description under 300 characters for "" &amp; A13 &amp; "" in the "" &amp; B13 &amp; "" category"")"),"Godrej Red HIT is a powerful aerosol insecticide specifically designed to eliminate cockroaches and other crawling pests like ants and bed bugs. Its Deep Reach Nozzle reaches hidden cracks and crevices, killing pests in just 3 seconds to protect your fami"&amp;"ly from food-borne diseases.")</f>
        <v>Godrej Red HIT is a powerful aerosol insecticide specifically designed to eliminate cockroaches and other crawling pests like ants and bed bugs. Its Deep Reach Nozzle reaches hidden cracks and crevices, killing pests in just 3 seconds to protect your family from food-borne diseases.</v>
      </c>
    </row>
    <row r="14">
      <c r="A14" s="3" t="s">
        <v>34</v>
      </c>
      <c r="B14" s="3" t="s">
        <v>26</v>
      </c>
      <c r="C14" s="4">
        <v>310.0</v>
      </c>
      <c r="D14" s="3">
        <v>350.0</v>
      </c>
      <c r="E14" s="5">
        <v>1.0</v>
      </c>
      <c r="F14" s="3">
        <f t="shared" si="1"/>
        <v>0.5</v>
      </c>
      <c r="G14" s="6" t="s">
        <v>35</v>
      </c>
      <c r="H14" s="7" t="str">
        <f>IFERROR(__xludf.DUMMYFUNCTION("AI(""Write a short product description under 300 characters for "" &amp; A14 &amp; "" in the "" &amp; B14 &amp; "" category"")"),"Godrej Red Hit (400ml) is a powerful cockroach killer spray designed to eliminate crawling insects on contact. Featuring a deep-reach nozzle, it targets pests in hard-to-reach nooks and corners of your kitchen and home, providing effective and long-lastin"&amp;"g protection.")</f>
        <v>Godrej Red Hit (400ml) is a powerful cockroach killer spray designed to eliminate crawling insects on contact. Featuring a deep-reach nozzle, it targets pests in hard-to-reach nooks and corners of your kitchen and home, providing effective and long-lasting protection.</v>
      </c>
    </row>
    <row r="15">
      <c r="A15" s="3" t="s">
        <v>36</v>
      </c>
      <c r="B15" s="3" t="s">
        <v>26</v>
      </c>
      <c r="C15" s="4">
        <v>200.0</v>
      </c>
      <c r="D15" s="3">
        <v>225.0</v>
      </c>
      <c r="E15" s="5">
        <v>1.0</v>
      </c>
      <c r="F15" s="3">
        <f t="shared" si="1"/>
        <v>0.5</v>
      </c>
      <c r="G15" s="6" t="s">
        <v>37</v>
      </c>
      <c r="H15" s="7" t="str">
        <f>IFERROR(__xludf.DUMMYFUNCTION("AI(""Write a short product description under 300 characters for "" &amp; A15 &amp; "" in the "" &amp; B15 &amp; "" category"")"),"Godrej Black Hit (200ml) is a powerful aerosol spray that instantly kills mosquitoes and flies. Featuring a deep-reach nozzle, it targets pests in hidden corners to provide complete protection for your family against diseases like Dengue and Malaria. Safe"&amp;" for indoor use.")</f>
        <v>Godrej Black Hit (200ml) is a powerful aerosol spray that instantly kills mosquitoes and flies. Featuring a deep-reach nozzle, it targets pests in hidden corners to provide complete protection for your family against diseases like Dengue and Malaria. Safe for indoor use.</v>
      </c>
    </row>
    <row r="16">
      <c r="A16" s="3" t="s">
        <v>38</v>
      </c>
      <c r="B16" s="3" t="s">
        <v>26</v>
      </c>
      <c r="C16" s="4">
        <v>330.0</v>
      </c>
      <c r="D16" s="3">
        <v>400.0</v>
      </c>
      <c r="E16" s="5">
        <v>1.0</v>
      </c>
      <c r="F16" s="3">
        <f t="shared" si="1"/>
        <v>0.5</v>
      </c>
      <c r="G16" s="6" t="s">
        <v>39</v>
      </c>
      <c r="H16" s="7" t="str">
        <f>IFERROR(__xludf.DUMMYFUNCTION("AI(""Write a short product description under 300 characters for "" &amp; A16 &amp; "" in the "" &amp; B16 &amp; "" category"")"),"Godrej Black Hit Lime is a powerful aerosol spray that instantly kills mosquitoes and flies. Its deep-reach nozzle targets pests in hidden corners, while the refreshing lime fragrance leaves your home smelling fresh. Effective against insects carrying Den"&amp;"gue and Malaria.")</f>
        <v>Godrej Black Hit Lime is a powerful aerosol spray that instantly kills mosquitoes and flies. Its deep-reach nozzle targets pests in hidden corners, while the refreshing lime fragrance leaves your home smelling fresh. Effective against insects carrying Dengue and Malaria.</v>
      </c>
    </row>
    <row r="17">
      <c r="A17" s="3" t="s">
        <v>40</v>
      </c>
      <c r="B17" s="3" t="s">
        <v>41</v>
      </c>
      <c r="C17" s="4">
        <v>200.0</v>
      </c>
      <c r="D17" s="3">
        <v>230.0</v>
      </c>
      <c r="E17" s="5">
        <v>2.0</v>
      </c>
      <c r="F17" s="3">
        <f t="shared" si="1"/>
        <v>1</v>
      </c>
      <c r="G17" s="6" t="s">
        <v>42</v>
      </c>
      <c r="H17" s="7" t="str">
        <f>IFERROR(__xludf.DUMMYFUNCTION("AI(""Write a short product description under 300 characters for "" &amp; A17 &amp; "" in the "" &amp; B17 &amp; "" category"")"),"Godrej No. 1 Soap offers nature's way to beauty with natural ingredients and oils. This Grade 1 soap provides effective cleansing and a long-lasting fragrance, leaving your skin feeling soft, smooth, and naturally healthy. Suitable for all skin types.")</f>
        <v>Godrej No. 1 Soap offers nature's way to beauty with natural ingredients and oils. This Grade 1 soap provides effective cleansing and a long-lasting fragrance, leaving your skin feeling soft, smooth, and naturally healthy. Suitable for all skin types.</v>
      </c>
    </row>
    <row r="18">
      <c r="A18" s="3" t="s">
        <v>43</v>
      </c>
      <c r="B18" s="3" t="s">
        <v>41</v>
      </c>
      <c r="C18" s="4">
        <v>10.83</v>
      </c>
      <c r="D18" s="3">
        <v>15.0</v>
      </c>
      <c r="E18" s="5">
        <v>24.0</v>
      </c>
      <c r="F18" s="3">
        <f t="shared" si="1"/>
        <v>12</v>
      </c>
      <c r="G18" s="6" t="s">
        <v>44</v>
      </c>
      <c r="H18" s="7" t="str">
        <f>IFERROR(__xludf.DUMMYFUNCTION("AI(""Write a short product description under 300 characters for "" &amp; A18 &amp; "" in the "" &amp; B18 &amp; "" category"")"),"Godrej Powder Hair Dye Black 3g provides a natural-looking, long-lasting black shade with 100% grey coverage. This ammonia-free formula is enriched with amla and shikakai to nourish and condition hair, making it soft and shiny. Easy to mix and apply for s"&amp;"alon-like results at home.")</f>
        <v>Godrej Powder Hair Dye Black 3g provides a natural-looking, long-lasting black shade with 100% grey coverage. This ammonia-free formula is enriched with amla and shikakai to nourish and condition hair, making it soft and shiny. Easy to mix and apply for salon-like results at home.</v>
      </c>
    </row>
    <row r="19">
      <c r="A19" s="3" t="s">
        <v>45</v>
      </c>
      <c r="B19" s="3" t="s">
        <v>41</v>
      </c>
      <c r="C19" s="4">
        <v>42.0</v>
      </c>
      <c r="D19" s="3">
        <v>50.0</v>
      </c>
      <c r="E19" s="5">
        <v>24.0</v>
      </c>
      <c r="F19" s="3">
        <f t="shared" si="1"/>
        <v>12</v>
      </c>
      <c r="G19" s="6" t="s">
        <v>46</v>
      </c>
      <c r="H19" s="7" t="str">
        <f>IFERROR(__xludf.DUMMYFUNCTION("AI(""Write a short product description under 300 characters for "" &amp; A19 &amp; "" in the "" &amp; B19 &amp; "" category"")"),"Godrej Expert Easy Shampoo Hair Color provides a quick and convenient way to color hair in just 5 minutes. Enriched with Amla and Shikakai, this no-ammonia formula ensures 100% grey coverage while leaving hair soft and shiny. Simply apply to dry hair and "&amp;"wash off like shampoo.")</f>
        <v>Godrej Expert Easy Shampoo Hair Color provides a quick and convenient way to color hair in just 5 minutes. Enriched with Amla and Shikakai, this no-ammonia formula ensures 100% grey coverage while leaving hair soft and shiny. Simply apply to dry hair and wash off like shampoo.</v>
      </c>
    </row>
    <row r="20">
      <c r="A20" s="3" t="s">
        <v>47</v>
      </c>
      <c r="B20" s="3" t="s">
        <v>41</v>
      </c>
      <c r="C20" s="4">
        <v>25.0</v>
      </c>
      <c r="D20" s="3">
        <v>30.0</v>
      </c>
      <c r="E20" s="5">
        <v>24.0</v>
      </c>
      <c r="F20" s="3">
        <f t="shared" si="1"/>
        <v>12</v>
      </c>
      <c r="G20" s="6" t="s">
        <v>48</v>
      </c>
      <c r="H20" s="7" t="str">
        <f>IFERROR(__xludf.DUMMYFUNCTION("AI(""Write a short product description under 300 characters for "" &amp; A20 &amp; "" in the "" &amp; B20 &amp; "" category"")"),"Godrej Expert Easy 5 Minute Shampoo Hair Color offers a quick, ammonia-free solution for 100% grey coverage. Enriched with Amla and Shikakai, this shampoo-based formula colors and nourishes your hair in just five minutes, providing a natural look with eas"&amp;"y, mess-free application.")</f>
        <v>Godrej Expert Easy 5 Minute Shampoo Hair Color offers a quick, ammonia-free solution for 100% grey coverage. Enriched with Amla and Shikakai, this shampoo-based formula colors and nourishes your hair in just five minutes, providing a natural look with easy, mess-free application.</v>
      </c>
    </row>
    <row r="21">
      <c r="A21" s="3" t="s">
        <v>49</v>
      </c>
      <c r="B21" s="3" t="s">
        <v>50</v>
      </c>
      <c r="C21" s="4">
        <v>230.0</v>
      </c>
      <c r="D21" s="3">
        <v>295.0</v>
      </c>
      <c r="E21" s="5">
        <v>6.0</v>
      </c>
      <c r="F21" s="3">
        <f t="shared" si="1"/>
        <v>3</v>
      </c>
      <c r="G21" s="6" t="s">
        <v>51</v>
      </c>
      <c r="H21" s="7" t="str">
        <f>IFERROR(__xludf.DUMMYFUNCTION("AI(""Write a short product description under 300 characters for "" &amp; A21 &amp; "" in the "" &amp; B21 &amp; "" category"")"),"Godrej AER Room Spray offers instant freshness with a long-lasting, natural-inspired fragrance. Designed with a stylish, easy-to-use push mechanism, it effectively neutralizes odors in living rooms, bedrooms, and offices, leaving your space smelling fresh"&amp;" and inviting.")</f>
        <v>Godrej AER Room Spray offers instant freshness with a long-lasting, natural-inspired fragrance. Designed with a stylish, easy-to-use push mechanism, it effectively neutralizes odors in living rooms, bedrooms, and offices, leaving your space smelling fresh and inviting.</v>
      </c>
    </row>
    <row r="22">
      <c r="A22" s="3" t="s">
        <v>52</v>
      </c>
      <c r="B22" s="3" t="s">
        <v>50</v>
      </c>
      <c r="C22" s="4">
        <v>60.0</v>
      </c>
      <c r="D22" s="3">
        <v>75.0</v>
      </c>
      <c r="E22" s="5">
        <v>36.0</v>
      </c>
      <c r="F22" s="3">
        <f t="shared" si="1"/>
        <v>18</v>
      </c>
      <c r="G22" s="6" t="s">
        <v>53</v>
      </c>
      <c r="H22" s="7" t="str">
        <f>IFERROR(__xludf.DUMMYFUNCTION("AI(""Write a short product description under 300 characters for "" &amp; A22 &amp; "" in the "" &amp; B22 &amp; "" category"")"),"Godrej aer Pocket is a slim, hangable air freshener designed for bathrooms and small spaces. Using unique power gel technology, it neutralizes odors and releases a refreshing fragrance for up to 30 days. Simply unwrap and hang it for effortless, long-last"&amp;"ing freshness.")</f>
        <v>Godrej aer Pocket is a slim, hangable air freshener designed for bathrooms and small spaces. Using unique power gel technology, it neutralizes odors and releases a refreshing fragrance for up to 30 days. Simply unwrap and hang it for effortless, long-lasting freshness.</v>
      </c>
    </row>
    <row r="23">
      <c r="A23" s="3" t="s">
        <v>54</v>
      </c>
      <c r="B23" s="3" t="s">
        <v>41</v>
      </c>
      <c r="C23" s="4">
        <v>25.0</v>
      </c>
      <c r="D23" s="3">
        <v>30.0</v>
      </c>
      <c r="E23" s="5">
        <v>40.0</v>
      </c>
      <c r="F23" s="3">
        <f t="shared" si="1"/>
        <v>20</v>
      </c>
      <c r="G23" s="6" t="s">
        <v>55</v>
      </c>
      <c r="H23" s="7" t="str">
        <f>IFERROR(__xludf.DUMMYFUNCTION("AI(""Write a short product description under 300 characters for "" &amp; A23 &amp; "" in the "" &amp; B23 &amp; "" category"")"),"Godrej Magic Handwash Refill is the world’s first powder-to-liquid handwash. Enriched with Neem and Aloe Vera, this eco-friendly 9g sachet makes 200ml of germ-protecting liquid. It is tough on germs yet gentle on skin, providing a cost-effective and susta"&amp;"inable hygiene solution.")</f>
        <v>Godrej Magic Handwash Refill is the world’s first powder-to-liquid handwash. Enriched with Neem and Aloe Vera, this eco-friendly 9g sachet makes 200ml of germ-protecting liquid. It is tough on germs yet gentle on skin, providing a cost-effective and sustainable hygiene solution.</v>
      </c>
    </row>
    <row r="24">
      <c r="A24" s="3" t="s">
        <v>56</v>
      </c>
      <c r="B24" s="3" t="s">
        <v>57</v>
      </c>
      <c r="C24" s="4">
        <v>150.0</v>
      </c>
      <c r="D24" s="3">
        <v>180.0</v>
      </c>
      <c r="E24" s="8">
        <v>175.0</v>
      </c>
      <c r="F24" s="3">
        <f t="shared" si="1"/>
        <v>87.5</v>
      </c>
      <c r="G24" s="6" t="s">
        <v>58</v>
      </c>
      <c r="H24" s="7" t="str">
        <f>IFERROR(__xludf.DUMMYFUNCTION("AI(""Write a short product description under 300 characters for "" &amp; A24 &amp; "" in the "" &amp; B24 &amp; "" category"")"),"Savor the light and fluffy texture of our Muffin Bread Vanilla. This 324g loaf combines the classic sweetness of vanilla with a moist, bakery-style crumb. Perfect for a delightful breakfast toast or a sweet afternoon snack, it offers a comforting taste in"&amp;" every slice.")</f>
        <v>Savor the light and fluffy texture of our Muffin Bread Vanilla. This 324g loaf combines the classic sweetness of vanilla with a moist, bakery-style crumb. Perfect for a delightful breakfast toast or a sweet afternoon snack, it offers a comforting taste in every slice.</v>
      </c>
    </row>
    <row r="25">
      <c r="A25" s="3" t="s">
        <v>59</v>
      </c>
      <c r="B25" s="3" t="s">
        <v>57</v>
      </c>
      <c r="C25" s="4">
        <v>150.0</v>
      </c>
      <c r="D25" s="3">
        <v>180.0</v>
      </c>
      <c r="E25" s="8">
        <v>175.0</v>
      </c>
      <c r="F25" s="3">
        <f t="shared" si="1"/>
        <v>87.5</v>
      </c>
      <c r="G25" s="6" t="s">
        <v>60</v>
      </c>
      <c r="H25" s="7" t="str">
        <f>IFERROR(__xludf.DUMMYFUNCTION("AI(""Write a short product description under 300 characters for "" &amp; A25 &amp; "" in the "" &amp; B25 &amp; "" category"")"),"Indulge in our Muffin Bread Chocolate 324g, a moist and decadent loaf perfect for any chocolate lover. Packed with rich chocolate flavor and a soft, fluffy texture, it is ideal for breakfast, a sweet snack, or dessert. Enjoy a bakery-quality treat from th"&amp;"e comfort of your home.")</f>
        <v>Indulge in our Muffin Bread Chocolate 324g, a moist and decadent loaf perfect for any chocolate lover. Packed with rich chocolate flavor and a soft, fluffy texture, it is ideal for breakfast, a sweet snack, or dessert. Enjoy a bakery-quality treat from the comfort of your home.</v>
      </c>
    </row>
    <row r="26">
      <c r="A26" s="3" t="s">
        <v>61</v>
      </c>
      <c r="B26" s="3" t="s">
        <v>57</v>
      </c>
      <c r="C26" s="4">
        <v>8.0</v>
      </c>
      <c r="D26" s="3">
        <v>10.0</v>
      </c>
      <c r="E26" s="8">
        <v>10.0</v>
      </c>
      <c r="F26" s="3">
        <f t="shared" si="1"/>
        <v>5</v>
      </c>
      <c r="G26" s="6" t="s">
        <v>62</v>
      </c>
      <c r="H26" s="7" t="str">
        <f>IFERROR(__xludf.DUMMYFUNCTION("AI(""Write a short product description under 300 characters for "" &amp; A26 &amp; "" in the "" &amp; B26 &amp; "" category"")"),"Enjoy the light and fluffy texture of Muffin Lata Vanilla. This 8g bite-sized treat is infused with a classic vanilla aroma, making it a perfect quick snack for any time of day. Deliciously baked and conveniently packed for on-the-go sweetness.")</f>
        <v>Enjoy the light and fluffy texture of Muffin Lata Vanilla. This 8g bite-sized treat is infused with a classic vanilla aroma, making it a perfect quick snack for any time of day. Deliciously baked and conveniently packed for on-the-go sweetness.</v>
      </c>
    </row>
    <row r="27">
      <c r="A27" s="3" t="s">
        <v>63</v>
      </c>
      <c r="B27" s="3" t="s">
        <v>57</v>
      </c>
      <c r="C27" s="4">
        <v>8.0</v>
      </c>
      <c r="D27" s="3">
        <v>10.0</v>
      </c>
      <c r="E27" s="8">
        <v>10.0</v>
      </c>
      <c r="F27" s="3">
        <f t="shared" si="1"/>
        <v>5</v>
      </c>
      <c r="G27" s="6" t="s">
        <v>64</v>
      </c>
      <c r="H27" s="7" t="str">
        <f>IFERROR(__xludf.DUMMYFUNCTION("AI(""Write a short product description under 300 characters for "" &amp; A27 &amp; "" in the "" &amp; B27 &amp; "" category"")"),"Satisfy your sweet tooth with the Muffin Lata Chocolate 8g. This bite-sized treat features a rich, velvety chocolate flavor and a soft, moist texture. Perfect for a quick snack or on-the-go indulgence, it's a delightful choice for chocolate lovers looking"&amp;" for a delicious biscuit alternative.")</f>
        <v>Satisfy your sweet tooth with the Muffin Lata Chocolate 8g. This bite-sized treat features a rich, velvety chocolate flavor and a soft, moist texture. Perfect for a quick snack or on-the-go indulgence, it's a delightful choice for chocolate lovers looking for a delicious biscuit alternative.</v>
      </c>
    </row>
    <row r="28">
      <c r="A28" s="3" t="s">
        <v>65</v>
      </c>
      <c r="B28" s="3" t="s">
        <v>57</v>
      </c>
      <c r="C28" s="4">
        <v>8.0</v>
      </c>
      <c r="D28" s="3">
        <v>10.0</v>
      </c>
      <c r="E28" s="8">
        <v>10.0</v>
      </c>
      <c r="F28" s="3">
        <f t="shared" si="1"/>
        <v>5</v>
      </c>
      <c r="G28" s="6" t="s">
        <v>66</v>
      </c>
      <c r="H28" s="7" t="str">
        <f>IFERROR(__xludf.DUMMYFUNCTION("AI(""Write a short product description under 300 characters for "" &amp; A28 &amp; "" in the "" &amp; B28 &amp; "" category"")"),"Enjoy the delightful taste of Muffin Lata Fruit, a light and fruity bite-sized treat. Perfect for on-the-go snacking, these 8g mini muffins offer a burst of fruity flavor in every soft, moist bite. A convenient and delicious choice for a quick snack any t"&amp;"ime of day.")</f>
        <v>Enjoy the delightful taste of Muffin Lata Fruit, a light and fruity bite-sized treat. Perfect for on-the-go snacking, these 8g mini muffins offer a burst of fruity flavor in every soft, moist bite. A convenient and delicious choice for a quick snack any time of day.</v>
      </c>
    </row>
    <row r="29">
      <c r="A29" s="3" t="s">
        <v>67</v>
      </c>
      <c r="B29" s="3" t="s">
        <v>57</v>
      </c>
      <c r="C29" s="4">
        <v>50.0</v>
      </c>
      <c r="D29" s="3">
        <v>60.0</v>
      </c>
      <c r="E29" s="8">
        <v>60.0</v>
      </c>
      <c r="F29" s="3">
        <f t="shared" si="1"/>
        <v>30</v>
      </c>
      <c r="G29" s="6" t="s">
        <v>68</v>
      </c>
      <c r="H29" s="7" t="str">
        <f>IFERROR(__xludf.DUMMYFUNCTION("AI(""Write a short product description under 300 characters for "" &amp; A29 &amp; "" in the "" &amp; B29 &amp; "" category"")"),"Kazi Toast 250g offers a crisp, golden-baked snack perfect for tea or coffee. These mildly sweet, crunchy biscuits are made from high-quality ingredients, providing a light and satisfying bite. Ideal for daily snacking, this generous pack ensures freshnes"&amp;"s and a classic toasted flavor.")</f>
        <v>Kazi Toast 250g offers a crisp, golden-baked snack perfect for tea or coffee. These mildly sweet, crunchy biscuits are made from high-quality ingredients, providing a light and satisfying bite. Ideal for daily snacking, this generous pack ensures freshness and a classic toasted flavor.</v>
      </c>
    </row>
    <row r="30">
      <c r="A30" s="3" t="s">
        <v>69</v>
      </c>
      <c r="B30" s="3" t="s">
        <v>57</v>
      </c>
      <c r="C30" s="4">
        <v>25.0</v>
      </c>
      <c r="D30" s="3">
        <v>30.0</v>
      </c>
      <c r="E30" s="8">
        <v>30.0</v>
      </c>
      <c r="F30" s="3">
        <f t="shared" si="1"/>
        <v>15</v>
      </c>
      <c r="G30" s="6" t="s">
        <v>70</v>
      </c>
      <c r="H30" s="7" t="str">
        <f>IFERROR(__xludf.DUMMYFUNCTION("AI(""Write a short product description under 300 characters for "" &amp; A30 &amp; "" in the "" &amp; B30 &amp; "" category"")"),"Enjoy a classic treat with our Slice Pound Cake Vanilla. This moist and buttery pound cake features a rich vanilla flavor and a dense, tender crumb. Perfectly pre-sliced for a convenient snack or dessert, it offers a nostalgic, homemade taste in every bit"&amp;"e.")</f>
        <v>Enjoy a classic treat with our Slice Pound Cake Vanilla. This moist and buttery pound cake features a rich vanilla flavor and a dense, tender crumb. Perfectly pre-sliced for a convenient snack or dessert, it offers a nostalgic, homemade taste in every bite.</v>
      </c>
    </row>
    <row r="31">
      <c r="A31" s="3" t="s">
        <v>71</v>
      </c>
      <c r="B31" s="3" t="s">
        <v>57</v>
      </c>
      <c r="C31" s="4">
        <v>4.0</v>
      </c>
      <c r="D31" s="3">
        <v>5.0</v>
      </c>
      <c r="E31" s="8">
        <v>5.0</v>
      </c>
      <c r="F31" s="3">
        <f t="shared" si="1"/>
        <v>2.5</v>
      </c>
      <c r="G31" s="6" t="s">
        <v>72</v>
      </c>
      <c r="H31" s="7" t="str">
        <f>IFERROR(__xludf.DUMMYFUNCTION("AI(""Write a short product description under 300 characters for "" &amp; A31 &amp; "" in the "" &amp; B31 &amp; "" category"")"),"Enjoy a moist and fluffy slice of traditional milk pound cake. This rich, buttery treat features a delicate crumb and creamy flavor, making it the perfect companion for your morning tea or coffee. Individually wrapped for freshness and convenience, it is "&amp;"ideal for a sweet, on-the-go snack.")</f>
        <v>Enjoy a moist and fluffy slice of traditional milk pound cake. This rich, buttery treat features a delicate crumb and creamy flavor, making it the perfect companion for your morning tea or coffee. Individually wrapped for freshness and convenience, it is ideal for a sweet, on-the-go snack.</v>
      </c>
    </row>
    <row r="32">
      <c r="A32" s="3" t="s">
        <v>73</v>
      </c>
      <c r="B32" s="3" t="s">
        <v>57</v>
      </c>
      <c r="C32" s="4">
        <v>29.0</v>
      </c>
      <c r="D32" s="3">
        <v>35.0</v>
      </c>
      <c r="E32" s="8">
        <v>35.0</v>
      </c>
      <c r="F32" s="3">
        <f t="shared" si="1"/>
        <v>17.5</v>
      </c>
      <c r="G32" s="6" t="s">
        <v>74</v>
      </c>
      <c r="H32" s="7" t="str">
        <f>IFERROR(__xludf.DUMMYFUNCTION("AI(""Write a short product description under 300 characters for "" &amp; A32 &amp; "" in the "" &amp; B32 &amp; "" category"")"),"Indulge in our Slice Pound Cake Chocolate, a rich and moist treat perfect for any time of day. This dense, buttery chocolate cake offers a deep cocoa flavor and a velvety texture in every convenient slice. Ideal for a quick snack or a decadent dessert pai"&amp;"ring with coffee.")</f>
        <v>Indulge in our Slice Pound Cake Chocolate, a rich and moist treat perfect for any time of day. This dense, buttery chocolate cake offers a deep cocoa flavor and a velvety texture in every convenient slice. Ideal for a quick snack or a decadent dessert pairing with coffee.</v>
      </c>
    </row>
    <row r="33">
      <c r="A33" s="3" t="s">
        <v>75</v>
      </c>
      <c r="B33" s="3" t="s">
        <v>57</v>
      </c>
      <c r="C33" s="4">
        <v>100.0</v>
      </c>
      <c r="D33" s="3">
        <v>120.0</v>
      </c>
      <c r="E33" s="8">
        <v>120.0</v>
      </c>
      <c r="F33" s="3">
        <f t="shared" si="1"/>
        <v>60</v>
      </c>
      <c r="G33" s="6" t="s">
        <v>76</v>
      </c>
      <c r="H33" s="7" t="str">
        <f>IFERROR(__xludf.DUMMYFUNCTION("AI(""Write a short product description under 300 characters for "" &amp; A33 &amp; "" in the "" &amp; B33 &amp; "" category"")"),"Indulge in our classic Pound Cake Vanilla. This soft, buttery cake features a rich vanilla aroma and a moist texture that melts in your mouth. Perfect for tea time, as a light snack, or paired with fresh fruit. A timeless, delicious treat for any occasion"&amp;".")</f>
        <v>Indulge in our classic Pound Cake Vanilla. This soft, buttery cake features a rich vanilla aroma and a moist texture that melts in your mouth. Perfect for tea time, as a light snack, or paired with fresh fruit. A timeless, delicious treat for any occasion.</v>
      </c>
    </row>
    <row r="34">
      <c r="A34" s="3" t="s">
        <v>77</v>
      </c>
      <c r="B34" s="3" t="s">
        <v>57</v>
      </c>
      <c r="C34" s="4">
        <v>100.0</v>
      </c>
      <c r="D34" s="3">
        <v>120.0</v>
      </c>
      <c r="E34" s="8">
        <v>120.0</v>
      </c>
      <c r="F34" s="3">
        <f t="shared" si="1"/>
        <v>60</v>
      </c>
      <c r="G34" s="6" t="s">
        <v>78</v>
      </c>
      <c r="H34" s="7" t="str">
        <f>IFERROR(__xludf.DUMMYFUNCTION("AI(""Write a short product description under 300 characters for "" &amp; A34 &amp; "" in the "" &amp; B34 &amp; "" category"")"),"Indulge in our rich and moist Chocolate Pound Cake. Perfectly baked for a velvety texture and deep cocoa flavor, this classic treat is ideal for tea time or a sweet snack. A delicious choice for chocolate lovers in every bite.")</f>
        <v>Indulge in our rich and moist Chocolate Pound Cake. Perfectly baked for a velvety texture and deep cocoa flavor, this classic treat is ideal for tea time or a sweet snack. A delicious choice for chocolate lovers in every bite.</v>
      </c>
    </row>
    <row r="35">
      <c r="A35" s="3" t="s">
        <v>79</v>
      </c>
      <c r="B35" s="3" t="s">
        <v>57</v>
      </c>
      <c r="C35" s="4">
        <v>108.0</v>
      </c>
      <c r="D35" s="3">
        <v>130.0</v>
      </c>
      <c r="E35" s="8">
        <v>130.0</v>
      </c>
      <c r="F35" s="3">
        <f t="shared" si="1"/>
        <v>65</v>
      </c>
      <c r="G35" s="6" t="s">
        <v>80</v>
      </c>
      <c r="H35" s="7" t="str">
        <f>IFERROR(__xludf.DUMMYFUNCTION("AI(""Write a short product description under 300 characters for "" &amp; A35 &amp; "" in the "" &amp; B35 &amp; "" category"")"),"Indulge in our Pound Cake Fruit, a dense and buttery treat packed with a vibrant blend of dried fruits. This 130g moist cake offers a perfect balance of traditional rich texture and sweet, chewy fruit pieces, making it an ideal companion for your tea or c"&amp;"offee break.")</f>
        <v>Indulge in our Pound Cake Fruit, a dense and buttery treat packed with a vibrant blend of dried fruits. This 130g moist cake offers a perfect balance of traditional rich texture and sweet, chewy fruit pieces, making it an ideal companion for your tea or coffee break.</v>
      </c>
    </row>
    <row r="36">
      <c r="A36" s="3" t="s">
        <v>81</v>
      </c>
      <c r="B36" s="3" t="s">
        <v>57</v>
      </c>
      <c r="C36" s="4">
        <v>125.0</v>
      </c>
      <c r="D36" s="3">
        <v>145.0</v>
      </c>
      <c r="E36" s="8">
        <v>145.0</v>
      </c>
      <c r="F36" s="3">
        <f t="shared" si="1"/>
        <v>72.5</v>
      </c>
      <c r="G36" s="6" t="s">
        <v>82</v>
      </c>
      <c r="H36" s="7" t="str">
        <f>IFERROR(__xludf.DUMMYFUNCTION("AI(""Write a short product description under 300 characters for "" &amp; A36 &amp; "" in the "" &amp; B36 &amp; "" category"")"),"Indulge in the light, crispy texture of our 300g Dry Cake. Perfectly baked for a satisfying crunch, this classic snack is the ideal companion for your daily tea or coffee. Enjoy a simple yet delicious treat from our premium Biscuits &amp; Cookies selection.")</f>
        <v>Indulge in the light, crispy texture of our 300g Dry Cake. Perfectly baked for a satisfying crunch, this classic snack is the ideal companion for your daily tea or coffee. Enjoy a simple yet delicious treat from our premium Biscuits &amp; Cookies selection.</v>
      </c>
    </row>
    <row r="37">
      <c r="A37" s="3" t="s">
        <v>83</v>
      </c>
      <c r="B37" s="3" t="s">
        <v>57</v>
      </c>
      <c r="C37" s="4">
        <v>8.0</v>
      </c>
      <c r="D37" s="3">
        <v>10.0</v>
      </c>
      <c r="E37" s="8">
        <v>10.0</v>
      </c>
      <c r="F37" s="3">
        <f t="shared" si="1"/>
        <v>5</v>
      </c>
      <c r="G37" s="6" t="s">
        <v>84</v>
      </c>
      <c r="H37" s="7" t="str">
        <f>IFERROR(__xludf.DUMMYFUNCTION("AI(""Write a short product description under 300 characters for "" &amp; A37 &amp; "" in the "" &amp; B37 &amp; "" category"")"),"Indulge in our Mini Dry Cakes, the perfect bite-sized snack for any time of day. These crunchy, golden-baked treats offer a satisfying crispness and simple sweetness that pairs perfectly with your favorite cup of tea or coffee. Enjoy a light and delicious"&amp;" treat in every bite.")</f>
        <v>Indulge in our Mini Dry Cakes, the perfect bite-sized snack for any time of day. These crunchy, golden-baked treats offer a satisfying crispness and simple sweetness that pairs perfectly with your favorite cup of tea or coffee. Enjoy a light and delicious treat in every bite.</v>
      </c>
    </row>
    <row r="38">
      <c r="A38" s="3" t="s">
        <v>85</v>
      </c>
      <c r="B38" s="3" t="s">
        <v>86</v>
      </c>
      <c r="C38" s="4">
        <v>76.0</v>
      </c>
      <c r="D38" s="3">
        <v>100.0</v>
      </c>
      <c r="E38" s="8">
        <v>95.0</v>
      </c>
      <c r="F38" s="3">
        <f t="shared" si="1"/>
        <v>47.5</v>
      </c>
      <c r="G38" s="6" t="s">
        <v>87</v>
      </c>
      <c r="H38" s="7" t="str">
        <f>IFERROR(__xludf.DUMMYFUNCTION("AI(""Write a short product description under 300 characters for "" &amp; A38 &amp; "" in the "" &amp; B38 &amp; "" category"")"),"Enjoy the classic taste of Tomato Ketchup Small, a sweet and tangy condiment made from sun-ripened tomatoes and a unique blend of spices. Perfectly portioned for convenience, it’s the ideal companion for burgers, fries, and your favorite snacks. Packed wi"&amp;"th lycopene and bold flavor.")</f>
        <v>Enjoy the classic taste of Tomato Ketchup Small, a sweet and tangy condiment made from sun-ripened tomatoes and a unique blend of spices. Perfectly portioned for convenience, it’s the ideal companion for burgers, fries, and your favorite snacks. Packed with lycopene and bold flavor.</v>
      </c>
    </row>
    <row r="39">
      <c r="A39" s="9" t="s">
        <v>88</v>
      </c>
      <c r="B39" s="9" t="s">
        <v>89</v>
      </c>
      <c r="C39" s="9">
        <v>530.0</v>
      </c>
      <c r="D39" s="9">
        <v>580.0</v>
      </c>
      <c r="E39" s="9">
        <v>2.0</v>
      </c>
      <c r="F39" s="3">
        <f t="shared" si="1"/>
        <v>1</v>
      </c>
      <c r="G39" s="6" t="s">
        <v>90</v>
      </c>
      <c r="H39" s="7" t="str">
        <f>IFERROR(__xludf.DUMMYFUNCTION("AI(""Write a short product description under 300 characters for "" &amp; A39 &amp; "" in the "" &amp; B39 &amp; "" category"")"),"Kickstart your morning with Kellogs Almond Corn Flakes. This 300g pack combines crispy corn flakes with real sliced almonds and a touch of sweet honey. Naturally cholesterol-free and high in iron, it offers a crunchy, nutritious breakfast that is perfect "&amp;"for the whole family.")</f>
        <v>Kickstart your morning with Kellogs Almond Corn Flakes. This 300g pack combines crispy corn flakes with real sliced almonds and a touch of sweet honey. Naturally cholesterol-free and high in iron, it offers a crunchy, nutritious breakfast that is perfect for the whole family.</v>
      </c>
    </row>
    <row r="40">
      <c r="A40" s="9" t="s">
        <v>91</v>
      </c>
      <c r="B40" s="9" t="s">
        <v>89</v>
      </c>
      <c r="C40" s="9">
        <v>530.0</v>
      </c>
      <c r="D40" s="9">
        <v>580.0</v>
      </c>
      <c r="E40" s="9">
        <v>2.0</v>
      </c>
      <c r="F40" s="3">
        <f t="shared" si="1"/>
        <v>1</v>
      </c>
      <c r="G40" s="6" t="s">
        <v>92</v>
      </c>
      <c r="H40" s="7" t="str">
        <f>IFERROR(__xludf.DUMMYFUNCTION("AI(""Write a short product description under 300 characters for "" &amp; A40 &amp; "" in the "" &amp; B40 &amp; "" category"")"),"Start your day with Kellogg's Corn Flakes Real Honey. Made from golden sun-ripened corn, these crispy flakes are coated with delicious natural honey for a sweet, energetic start. This nourishing, cholesterol-free breakfast cereal provides essential nutrie"&amp;"nts to keep you active all morning.")</f>
        <v>Start your day with Kellogg's Corn Flakes Real Honey. Made from golden sun-ripened corn, these crispy flakes are coated with delicious natural honey for a sweet, energetic start. This nourishing, cholesterol-free breakfast cereal provides essential nutrients to keep you active all morning.</v>
      </c>
    </row>
    <row r="41">
      <c r="A41" s="9" t="s">
        <v>93</v>
      </c>
      <c r="B41" s="9" t="s">
        <v>89</v>
      </c>
      <c r="C41" s="9">
        <v>530.0</v>
      </c>
      <c r="D41" s="9">
        <v>570.0</v>
      </c>
      <c r="E41" s="9">
        <v>2.0</v>
      </c>
      <c r="F41" s="3">
        <f t="shared" si="1"/>
        <v>1</v>
      </c>
      <c r="G41" s="6" t="s">
        <v>94</v>
      </c>
      <c r="H41" s="7" t="str">
        <f>IFERROR(__xludf.DUMMYFUNCTION("AI(""Write a short product description under 300 characters for "" &amp; A41 &amp; "" in the "" &amp; B41 &amp; "" category"")"),"Experience the vibrant colors and crunchy texture of Kellogg's Froot Loops 285g. These fruity circles are made with whole grains and natural fruit flavors like orange, lemon, and lime. A fun, nutrient-packed cereal that provides a delicious start to the d"&amp;"ay for both kids and adults.")</f>
        <v>Experience the vibrant colors and crunchy texture of Kellogg's Froot Loops 285g. These fruity circles are made with whole grains and natural fruit flavors like orange, lemon, and lime. A fun, nutrient-packed cereal that provides a delicious start to the day for both kids and adults.</v>
      </c>
    </row>
    <row r="42">
      <c r="A42" s="9" t="s">
        <v>95</v>
      </c>
      <c r="B42" s="9" t="s">
        <v>89</v>
      </c>
      <c r="C42" s="9">
        <v>160.0</v>
      </c>
      <c r="D42" s="9">
        <v>180.0</v>
      </c>
      <c r="E42" s="9">
        <v>4.0</v>
      </c>
      <c r="F42" s="3">
        <f t="shared" si="1"/>
        <v>2</v>
      </c>
      <c r="G42" s="6" t="s">
        <v>96</v>
      </c>
      <c r="H42" s="7" t="str">
        <f>IFERROR(__xludf.DUMMYFUNCTION("AI(""Write a short product description under 300 characters for "" &amp; A42 &amp; "" in the "" &amp; B42 &amp; "" category"")"),"Kellogg's Chocos 127g is a crunchy, maida-free multigrain cereal with a delicious chocolatey taste. Packed with 10 essential vitamins and minerals, it offers the protein and fiber of one roti per serving, making it a nutritious and fun breakfast choice fo"&amp;"r kids.")</f>
        <v>Kellogg's Chocos 127g is a crunchy, maida-free multigrain cereal with a delicious chocolatey taste. Packed with 10 essential vitamins and minerals, it offers the protein and fiber of one roti per serving, making it a nutritious and fun breakfast choice for kids.</v>
      </c>
    </row>
    <row r="43">
      <c r="A43" s="9" t="s">
        <v>97</v>
      </c>
      <c r="B43" s="9" t="s">
        <v>89</v>
      </c>
      <c r="C43" s="9">
        <v>360.0</v>
      </c>
      <c r="D43" s="9">
        <v>390.0</v>
      </c>
      <c r="E43" s="9">
        <v>3.0</v>
      </c>
      <c r="F43" s="3">
        <f t="shared" si="1"/>
        <v>1.5</v>
      </c>
      <c r="G43" s="6" t="s">
        <v>98</v>
      </c>
      <c r="H43" s="7" t="str">
        <f>IFERROR(__xludf.DUMMYFUNCTION("AI(""Write a short product description under 300 characters for "" &amp; A43 &amp; "" in the "" &amp; B43 &amp; "" category"")"),"Kellogg's Chocos 250g is a delicious, crunchy breakfast cereal featuring whole wheat flakes with a rich chocolate coating. Fortified with essential vitamins and minerals like iron and B-vitamins, it offers a nutritious and fiber-rich start to the day that"&amp;" kids and adults will love.")</f>
        <v>Kellogg's Chocos 250g is a delicious, crunchy breakfast cereal featuring whole wheat flakes with a rich chocolate coating. Fortified with essential vitamins and minerals like iron and B-vitamins, it offers a nutritious and fiber-rich start to the day that kids and adults will love.</v>
      </c>
    </row>
    <row r="44">
      <c r="A44" s="9" t="s">
        <v>99</v>
      </c>
      <c r="B44" s="9" t="s">
        <v>89</v>
      </c>
      <c r="C44" s="9">
        <v>530.0</v>
      </c>
      <c r="D44" s="9">
        <v>570.0</v>
      </c>
      <c r="E44" s="9">
        <v>2.0</v>
      </c>
      <c r="F44" s="3">
        <f t="shared" si="1"/>
        <v>1</v>
      </c>
      <c r="G44" s="6" t="s">
        <v>100</v>
      </c>
      <c r="H44" s="7" t="str">
        <f>IFERROR(__xludf.DUMMYFUNCTION("AI(""Write a short product description under 300 characters for "" &amp; A44 &amp; "" in the "" &amp; B44 &amp; "" category"")"),"Enjoy Kellogg's Chocos Fills, the perfect multigrain cereal that is crunchy on the outside and chocolaty on the inside. Made with oats, wheat, and rice, these center-filled pillows are high in B vitamins and protein. Enjoy them with milk or as a delicious"&amp;" anytime snack.")</f>
        <v>Enjoy Kellogg's Chocos Fills, the perfect multigrain cereal that is crunchy on the outside and chocolaty on the inside. Made with oats, wheat, and rice, these center-filled pillows are high in B vitamins and protein. Enjoy them with milk or as a delicious anytime snack.</v>
      </c>
    </row>
    <row r="45">
      <c r="A45" s="9" t="s">
        <v>101</v>
      </c>
      <c r="B45" s="9" t="s">
        <v>89</v>
      </c>
      <c r="C45" s="9">
        <v>920.0</v>
      </c>
      <c r="D45" s="9">
        <v>1000.0</v>
      </c>
      <c r="E45" s="9">
        <v>2.0</v>
      </c>
      <c r="F45" s="3">
        <f t="shared" si="1"/>
        <v>1</v>
      </c>
      <c r="G45" s="6" t="s">
        <v>102</v>
      </c>
      <c r="H45" s="7" t="str">
        <f>IFERROR(__xludf.DUMMYFUNCTION("AI(""Write a short product description under 300 characters for "" &amp; A45 &amp; "" in the "" &amp; B45 &amp; "" category"")"),"Kickstart your day with Kellogg's Muesli Crunchy Fruit &amp; Nut. This 500g pack features a nourishing blend of five whole grains—wheat, oats, rice, corn, and barley—tossed with almonds, raisins, and candied fruits for a delicious, fiber-rich, and high-energy"&amp;" breakfast.")</f>
        <v>Kickstart your day with Kellogg's Muesli Crunchy Fruit &amp; Nut. This 500g pack features a nourishing blend of five whole grains—wheat, oats, rice, corn, and barley—tossed with almonds, raisins, and candied fruits for a delicious, fiber-rich, and high-energy breakfast.</v>
      </c>
    </row>
    <row r="46">
      <c r="A46" s="9" t="s">
        <v>103</v>
      </c>
      <c r="B46" s="9" t="s">
        <v>89</v>
      </c>
      <c r="C46" s="9">
        <v>17.5</v>
      </c>
      <c r="D46" s="9">
        <v>20.0</v>
      </c>
      <c r="E46" s="9">
        <v>48.0</v>
      </c>
      <c r="F46" s="3">
        <f t="shared" si="1"/>
        <v>24</v>
      </c>
      <c r="G46" s="6" t="s">
        <v>104</v>
      </c>
      <c r="H46" s="7" t="str">
        <f>IFERROR(__xludf.DUMMYFUNCTION("AI(""Write a short product description under 300 characters for "" &amp; A46 &amp; "" in the "" &amp; B46 &amp; "" category"")"),"Kelloggs K-Park 26g is a convenient, single-serve cereal pack perfect for on-the-go snacking or a quick breakfast. This crunchy and delicious cereal provides a boost of energy and essential nutrients to start your day right. Ideal for school lunches, offi"&amp;"ce treats, or travel.")</f>
        <v>Kelloggs K-Park 26g is a convenient, single-serve cereal pack perfect for on-the-go snacking or a quick breakfast. This crunchy and delicious cereal provides a boost of energy and essential nutrients to start your day right. Ideal for school lunches, office treats, or travel.</v>
      </c>
    </row>
    <row r="47">
      <c r="A47" s="9" t="s">
        <v>105</v>
      </c>
      <c r="B47" s="9" t="s">
        <v>89</v>
      </c>
      <c r="C47" s="9">
        <v>320.0</v>
      </c>
      <c r="D47" s="9">
        <v>360.0</v>
      </c>
      <c r="E47" s="9">
        <v>6.0</v>
      </c>
      <c r="F47" s="3">
        <f t="shared" si="1"/>
        <v>3</v>
      </c>
      <c r="G47" s="6" t="s">
        <v>106</v>
      </c>
      <c r="H47" s="7" t="str">
        <f>IFERROR(__xludf.DUMMYFUNCTION("AI(""Write a short product description under 300 characters for "" &amp; A47 &amp; "" in the "" &amp; B47 &amp; "" category"")"),"Start your day with Kellogg's Oats 400g. Made from 100% whole grain, these oats are high in fiber and protein to keep you energized. Naturally cholesterol-free and low in sodium, they are perfect for a heart-healthy breakfast like porridge or savory upma."&amp;" Quick to cook and delicious.")</f>
        <v>Start your day with Kellogg's Oats 400g. Made from 100% whole grain, these oats are high in fiber and protein to keep you energized. Naturally cholesterol-free and low in sodium, they are perfect for a heart-healthy breakfast like porridge or savory upma. Quick to cook and delicious.</v>
      </c>
    </row>
    <row r="48">
      <c r="A48" s="9" t="s">
        <v>107</v>
      </c>
      <c r="B48" s="9" t="s">
        <v>89</v>
      </c>
      <c r="C48" s="9">
        <v>675.0</v>
      </c>
      <c r="D48" s="9">
        <v>750.0</v>
      </c>
      <c r="E48" s="9">
        <v>4.0</v>
      </c>
      <c r="F48" s="3">
        <f t="shared" si="1"/>
        <v>2</v>
      </c>
      <c r="G48" s="6" t="s">
        <v>108</v>
      </c>
      <c r="H48" s="7" t="str">
        <f>IFERROR(__xludf.DUMMYFUNCTION("AI(""Write a short product description under 300 characters for "" &amp; A48 &amp; "" in the "" &amp; B48 &amp; "" category"")"),"Start your day with Kellogg's Oats 900g. Made from 100% whole grain, these oats are high in fiber and protein, supporting heart health and digestive wellness. Quick to prepare in just minutes, it's a versatile, sodium-free cereal perfect for a nutritious "&amp;"and energizing breakfast.")</f>
        <v>Start your day with Kellogg's Oats 900g. Made from 100% whole grain, these oats are high in fiber and protein, supporting heart health and digestive wellness. Quick to prepare in just minutes, it's a versatile, sodium-free cereal perfect for a nutritious and energizing breakfast.</v>
      </c>
    </row>
    <row r="49">
      <c r="A49" s="3" t="s">
        <v>109</v>
      </c>
      <c r="B49" s="3" t="s">
        <v>110</v>
      </c>
      <c r="C49" s="4">
        <v>82.0</v>
      </c>
      <c r="D49" s="10">
        <v>95.0</v>
      </c>
      <c r="E49" s="5">
        <v>6.0</v>
      </c>
      <c r="F49" s="3">
        <f t="shared" si="1"/>
        <v>3</v>
      </c>
      <c r="G49" s="6" t="s">
        <v>111</v>
      </c>
      <c r="H49" s="7" t="str">
        <f>IFERROR(__xludf.DUMMYFUNCTION("AI(""Write a short product description under 300 characters for "" &amp; A49 &amp; "" in the "" &amp; B49 &amp; "" category"")"),"Dano Daily Pushti is an affordable, nutritious milk powder for the whole family. Enriched with essential vitamins, minerals, calcium, and protein, this 100g pack supports everyday wellness and is perfect for drinking, making tea, or cooking. Sourced from "&amp;"high-quality European ingredients.")</f>
        <v>Dano Daily Pushti is an affordable, nutritious milk powder for the whole family. Enriched with essential vitamins, minerals, calcium, and protein, this 100g pack supports everyday wellness and is perfect for drinking, making tea, or cooking. Sourced from high-quality European ingredients.</v>
      </c>
    </row>
    <row r="50">
      <c r="A50" s="3" t="s">
        <v>112</v>
      </c>
      <c r="B50" s="3" t="s">
        <v>110</v>
      </c>
      <c r="C50" s="4">
        <v>40.0</v>
      </c>
      <c r="D50" s="10">
        <v>50.0</v>
      </c>
      <c r="E50" s="5">
        <v>6.0</v>
      </c>
      <c r="F50" s="3">
        <f t="shared" si="1"/>
        <v>3</v>
      </c>
      <c r="G50" s="6" t="s">
        <v>113</v>
      </c>
      <c r="H50" s="7" t="str">
        <f>IFERROR(__xludf.DUMMYFUNCTION("AI(""Write a short product description under 300 characters for "" &amp; A50 &amp; "" in the "" &amp; B50 &amp; "" category"")"),"Dano Daily Pusti 50g is a nutritious and affordable milk powder enriched with Calcium, Protein, and Vitamins A and D3. Perfect for your daily tea, coffee, or favorite desserts, it provides essential nutrients for family wellness in a convenient, small pac"&amp;"k.")</f>
        <v>Dano Daily Pusti 50g is a nutritious and affordable milk powder enriched with Calcium, Protein, and Vitamins A and D3. Perfect for your daily tea, coffee, or favorite desserts, it provides essential nutrients for family wellness in a convenient, small pack.</v>
      </c>
    </row>
    <row r="51">
      <c r="A51" s="3" t="s">
        <v>114</v>
      </c>
      <c r="B51" s="3" t="s">
        <v>110</v>
      </c>
      <c r="C51" s="4">
        <v>360.0</v>
      </c>
      <c r="D51" s="10">
        <v>400.0</v>
      </c>
      <c r="E51" s="5">
        <v>4.0</v>
      </c>
      <c r="F51" s="3">
        <f t="shared" si="1"/>
        <v>2</v>
      </c>
      <c r="G51" s="6" t="s">
        <v>115</v>
      </c>
      <c r="H51" s="7" t="str">
        <f>IFERROR(__xludf.DUMMYFUNCTION("AI(""Write a short product description under 300 characters for "" &amp; A51 &amp; "" in the "" &amp; B51 &amp; "" category"")"),"Dano Daily Pusti 500g is a nutritious and affordable milk powder enriched with calcium, protein, and essential vitamins. Sourced from European farms, this skimmed milk with vegetable fat is perfect for drinking, tea, or cooking, supporting your family's e"&amp;"veryday health and wellness.")</f>
        <v>Dano Daily Pusti 500g is a nutritious and affordable milk powder enriched with calcium, protein, and essential vitamins. Sourced from European farms, this skimmed milk with vegetable fat is perfect for drinking, tea, or cooking, supporting your family's everyday health and wellness.</v>
      </c>
    </row>
    <row r="52">
      <c r="A52" s="3" t="s">
        <v>116</v>
      </c>
      <c r="B52" s="3" t="s">
        <v>110</v>
      </c>
      <c r="C52" s="4">
        <v>150.0</v>
      </c>
      <c r="D52" s="10">
        <v>180.0</v>
      </c>
      <c r="E52" s="5">
        <v>5.0</v>
      </c>
      <c r="F52" s="3">
        <f t="shared" si="1"/>
        <v>2.5</v>
      </c>
      <c r="G52" s="6" t="s">
        <v>117</v>
      </c>
      <c r="H52" s="7" t="str">
        <f>IFERROR(__xludf.DUMMYFUNCTION("AI(""Write a short product description under 300 characters for "" &amp; A52 &amp; "" in the "" &amp; B52 &amp; "" category"")"),"Dano Daily Pushti 200g is an affordable, nutritious milk powder for the whole family. Enriched with calcium, protein, and essential vitamins, it supports bone strength and daily energy. This creamy powder dissolves easily, making it perfect for direct dri"&amp;"nking, tea, coffee, and cooking.")</f>
        <v>Dano Daily Pushti 200g is an affordable, nutritious milk powder for the whole family. Enriched with calcium, protein, and essential vitamins, it supports bone strength and daily energy. This creamy powder dissolves easily, making it perfect for direct drinking, tea, coffee, and cooking.</v>
      </c>
    </row>
    <row r="53">
      <c r="A53" s="3" t="s">
        <v>118</v>
      </c>
      <c r="B53" s="3" t="s">
        <v>110</v>
      </c>
      <c r="C53" s="4">
        <v>451.0</v>
      </c>
      <c r="D53" s="10">
        <v>480.0</v>
      </c>
      <c r="E53" s="5">
        <v>4.0</v>
      </c>
      <c r="F53" s="3">
        <f t="shared" si="1"/>
        <v>2</v>
      </c>
      <c r="G53" s="6" t="s">
        <v>119</v>
      </c>
      <c r="H53" s="7" t="str">
        <f>IFERROR(__xludf.DUMMYFUNCTION("AI(""Write a short product description under 300 characters for "" &amp; A53 &amp; "" in the "" &amp; B53 &amp; "" category"")"),"Dano Delight 500g is a premium full cream milk powder enriched with 28% milk fat. Perfect for making cakes, custards, and puddings, it adds a rich, creamy texture and delicious flavor to your favorite desserts and beverages. High in protein and essential "&amp;"vitamins for a healthy lifestyle.")</f>
        <v>Dano Delight 500g is a premium full cream milk powder enriched with 28% milk fat. Perfect for making cakes, custards, and puddings, it adds a rich, creamy texture and delicious flavor to your favorite desserts and beverages. High in protein and essential vitamins for a healthy lifestyle.</v>
      </c>
    </row>
    <row r="54">
      <c r="A54" s="3" t="s">
        <v>120</v>
      </c>
      <c r="B54" s="3" t="s">
        <v>110</v>
      </c>
      <c r="C54" s="4">
        <v>185.0</v>
      </c>
      <c r="D54" s="10">
        <v>200.0</v>
      </c>
      <c r="E54" s="5">
        <v>5.0</v>
      </c>
      <c r="F54" s="3">
        <f t="shared" si="1"/>
        <v>2.5</v>
      </c>
      <c r="G54" s="6" t="s">
        <v>121</v>
      </c>
      <c r="H54" s="7" t="str">
        <f>IFERROR(__xludf.DUMMYFUNCTION("AI(""Write a short product description under 300 characters for "" &amp; A54 &amp; "" in the "" &amp; B54 &amp; "" category"")"),"Dano Delight 200g is a premium full cream milk powder enriched with 28% milk fat. Perfect for making cakes, custards, and puddings creamier and more delicious, it is fortified with Vitamins A and D3 to provide both rich flavor and essential nutrition for "&amp;"your family.")</f>
        <v>Dano Delight 200g is a premium full cream milk powder enriched with 28% milk fat. Perfect for making cakes, custards, and puddings creamier and more delicious, it is fortified with Vitamins A and D3 to provide both rich flavor and essential nutrition for your family.</v>
      </c>
    </row>
    <row r="55">
      <c r="A55" s="3" t="s">
        <v>122</v>
      </c>
      <c r="B55" s="3" t="s">
        <v>110</v>
      </c>
      <c r="C55" s="4">
        <v>447.0</v>
      </c>
      <c r="D55" s="10">
        <v>480.0</v>
      </c>
      <c r="E55" s="5">
        <v>4.0</v>
      </c>
      <c r="F55" s="3">
        <f t="shared" si="1"/>
        <v>2</v>
      </c>
      <c r="G55" s="6" t="s">
        <v>123</v>
      </c>
      <c r="H55" s="7" t="str">
        <f>IFERROR(__xludf.DUMMYFUNCTION("AI(""Write a short product description under 300 characters for "" &amp; A55 &amp; "" in the "" &amp; B55 &amp; "" category"")"),"Dano Power 500g is a premium full cream milk powder from Arla, packed with essential nutrients like protein, calcium, and vitamins A and D. Sourced from Denmark, it provides the natural energy and strength your family needs for a healthy, active life. Per"&amp;"fect for drinking, tea, or cooking.")</f>
        <v>Dano Power 500g is a premium full cream milk powder from Arla, packed with essential nutrients like protein, calcium, and vitamins A and D. Sourced from Denmark, it provides the natural energy and strength your family needs for a healthy, active life. Perfect for drinking, tea, or cooking.</v>
      </c>
    </row>
    <row r="56">
      <c r="A56" s="3" t="s">
        <v>124</v>
      </c>
      <c r="B56" s="3" t="s">
        <v>110</v>
      </c>
      <c r="C56" s="4">
        <v>190.0</v>
      </c>
      <c r="D56" s="10">
        <v>210.0</v>
      </c>
      <c r="E56" s="5">
        <v>5.0</v>
      </c>
      <c r="F56" s="3">
        <f t="shared" si="1"/>
        <v>2.5</v>
      </c>
      <c r="G56" s="6" t="s">
        <v>125</v>
      </c>
      <c r="H56" s="7" t="str">
        <f>IFERROR(__xludf.DUMMYFUNCTION("AI(""Write a short product description under 300 characters for "" &amp; A56 &amp; "" in the "" &amp; B56 &amp; "" category"")"),"Dano Power 200g is a premium full cream milk powder sourced from European farms. Rich in essential nutrients like Calcium, Protein, and Vitamins A, D, B2, and B12, it provides natural strength and a creamy taste for the whole family. Perfect for drinking,"&amp;" tea, coffee, or baking.")</f>
        <v>Dano Power 200g is a premium full cream milk powder sourced from European farms. Rich in essential nutrients like Calcium, Protein, and Vitamins A, D, B2, and B12, it provides natural strength and a creamy taste for the whole family. Perfect for drinking, tea, coffee, or baking.</v>
      </c>
    </row>
    <row r="57">
      <c r="A57" s="9" t="s">
        <v>126</v>
      </c>
      <c r="B57" s="9" t="s">
        <v>127</v>
      </c>
      <c r="C57" s="9">
        <v>893.0</v>
      </c>
      <c r="D57" s="9">
        <v>950.0</v>
      </c>
      <c r="E57" s="9">
        <v>6.0</v>
      </c>
      <c r="F57" s="3">
        <f t="shared" si="1"/>
        <v>3</v>
      </c>
      <c r="G57" s="6" t="s">
        <v>128</v>
      </c>
      <c r="H57" s="7" t="str">
        <f>IFERROR(__xludf.DUMMYFUNCTION("AI(""Write a short product description under 300 characters for "" &amp; A57 &amp; "" in the "" &amp; B57 &amp; "" category"")"),"Diploma Instant Full Cream Milk Powder 1kg offers the rich, creamy taste of fresh milk in a convenient powdered form. Enriched with Vitamins A and D, it dissolves instantly and is perfect for making delicious desserts, tea, coffee, or nutritious daily dri"&amp;"nks for the whole family.")</f>
        <v>Diploma Instant Full Cream Milk Powder 1kg offers the rich, creamy taste of fresh milk in a convenient powdered form. Enriched with Vitamins A and D, it dissolves instantly and is perfect for making delicious desserts, tea, coffee, or nutritious daily drinks for the whole family.</v>
      </c>
    </row>
    <row r="58">
      <c r="A58" s="9" t="s">
        <v>129</v>
      </c>
      <c r="B58" s="9" t="s">
        <v>127</v>
      </c>
      <c r="C58" s="9">
        <v>190.0</v>
      </c>
      <c r="D58" s="9">
        <v>205.0</v>
      </c>
      <c r="E58" s="9">
        <v>6.0</v>
      </c>
      <c r="F58" s="3">
        <f t="shared" si="1"/>
        <v>3</v>
      </c>
      <c r="G58" s="6" t="s">
        <v>130</v>
      </c>
      <c r="H58" s="7" t="str">
        <f>IFERROR(__xludf.DUMMYFUNCTION("AI(""Write a short product description under 300 characters for "" &amp; A58 &amp; "" in the "" &amp; B58 &amp; "" category"")"),"Diploma Instant Full Cream Milk Powder 200g offers a rich, creamy taste sourced from premium New Zealand dairy. Fortified with Vitamins A and D, it dissolves instantly, making it the perfect dessert expert for sweets, tea, coffee, or daily nutrition.")</f>
        <v>Diploma Instant Full Cream Milk Powder 200g offers a rich, creamy taste sourced from premium New Zealand dairy. Fortified with Vitamins A and D, it dissolves instantly, making it the perfect dessert expert for sweets, tea, coffee, or daily nutrition.</v>
      </c>
    </row>
    <row r="59">
      <c r="A59" s="9" t="s">
        <v>131</v>
      </c>
      <c r="B59" s="9" t="s">
        <v>127</v>
      </c>
      <c r="C59" s="9">
        <v>449.0</v>
      </c>
      <c r="D59" s="9">
        <v>480.0</v>
      </c>
      <c r="E59" s="9">
        <v>6.0</v>
      </c>
      <c r="F59" s="3">
        <f t="shared" si="1"/>
        <v>3</v>
      </c>
      <c r="G59" s="6" t="s">
        <v>132</v>
      </c>
      <c r="H59" s="7" t="str">
        <f>IFERROR(__xludf.DUMMYFUNCTION("AI(""Write a short product description under 300 characters for "" &amp; A59 &amp; "" in the "" &amp; B59 &amp; "" category"")"),"Diploma Instant Full Cream Milk Powder 500g delivers a rich, creamy taste and essential nutrients in a convenient powdered form. Perfect for daily beverages, baking, and cooking, it dissolves instantly in water. Sourced from premium New Zealand dairy, it "&amp;"ensures superior quality for all your recipes.")</f>
        <v>Diploma Instant Full Cream Milk Powder 500g delivers a rich, creamy taste and essential nutrients in a convenient powdered form. Perfect for daily beverages, baking, and cooking, it dissolves instantly in water. Sourced from premium New Zealand dairy, it ensures superior quality for all your recipes.</v>
      </c>
    </row>
    <row r="60">
      <c r="A60" s="9" t="s">
        <v>133</v>
      </c>
      <c r="B60" s="9" t="s">
        <v>134</v>
      </c>
      <c r="C60" s="9">
        <v>223.0</v>
      </c>
      <c r="D60" s="9">
        <v>250.0</v>
      </c>
      <c r="E60" s="9">
        <v>3.0</v>
      </c>
      <c r="F60" s="3">
        <f t="shared" si="1"/>
        <v>1.5</v>
      </c>
      <c r="G60" s="6" t="s">
        <v>135</v>
      </c>
      <c r="H60" s="7" t="str">
        <f>IFERROR(__xludf.DUMMYFUNCTION("AI(""Write a short product description under 300 characters for "" &amp; A60 &amp; "" in the "" &amp; B60 &amp; "" category"")"),"Savor the authentic, zesty flavor of Doodles Instant Noodles Masala. This 8-pack offers a quick and delicious snack fortified with essential nutrients like calcium and iron. Perfect for family meals or a tasty on-the-go treat, these noodles are ready in j"&amp;"ust minutes.")</f>
        <v>Savor the authentic, zesty flavor of Doodles Instant Noodles Masala. This 8-pack offers a quick and delicious snack fortified with essential nutrients like calcium and iron. Perfect for family meals or a tasty on-the-go treat, these noodles are ready in just minutes.</v>
      </c>
    </row>
    <row r="61">
      <c r="A61" s="9" t="s">
        <v>136</v>
      </c>
      <c r="B61" s="9" t="s">
        <v>134</v>
      </c>
      <c r="C61" s="9">
        <v>76.0</v>
      </c>
      <c r="D61" s="9">
        <v>90.0</v>
      </c>
      <c r="E61" s="9">
        <v>3.0</v>
      </c>
      <c r="F61" s="3">
        <f t="shared" si="1"/>
        <v>1.5</v>
      </c>
      <c r="G61" s="6" t="s">
        <v>137</v>
      </c>
      <c r="H61" s="7" t="str">
        <f>IFERROR(__xludf.DUMMYFUNCTION("AI(""Write a short product description under 300 characters for "" &amp; A61 &amp; "" in the "" &amp; B61 &amp; "" category"")"),"Enjoy the zesty and aromatic flavor of Doodles Instant Noodles Masala. This bulk 24-pack of 62g noodles offers a quick, flavorful snack ready in just 2 minutes. Made with a unique blend of spices, it is a convenient choice for busy days and a favorite for"&amp;" the whole family.")</f>
        <v>Enjoy the zesty and aromatic flavor of Doodles Instant Noodles Masala. This bulk 24-pack of 62g noodles offers a quick, flavorful snack ready in just 2 minutes. Made with a unique blend of spices, it is a convenient choice for busy days and a favorite for the whole family.</v>
      </c>
    </row>
    <row r="62">
      <c r="A62" s="9" t="s">
        <v>138</v>
      </c>
      <c r="B62" s="9" t="s">
        <v>134</v>
      </c>
      <c r="C62" s="9">
        <v>146.0</v>
      </c>
      <c r="D62" s="9">
        <v>160.0</v>
      </c>
      <c r="E62" s="9">
        <v>3.0</v>
      </c>
      <c r="F62" s="3">
        <f t="shared" si="1"/>
        <v>1.5</v>
      </c>
      <c r="G62" s="6" t="s">
        <v>139</v>
      </c>
      <c r="H62" s="7" t="str">
        <f>IFERROR(__xludf.DUMMYFUNCTION("AI(""Write a short product description under 300 characters for "" &amp; A62 &amp; "" in the "" &amp; B62 &amp; "" category"")"),"Doodles Instant Noodles Masala (12 Pack) offers a tasty and nutritious snack for the whole family. Made with high-quality ingredients and authentic spices, these fortified noodles are rich in calcium and easy to prepare in just 2 minutes. Perfect for quic"&amp;"k meals or school lunchboxes.")</f>
        <v>Doodles Instant Noodles Masala (12 Pack) offers a tasty and nutritious snack for the whole family. Made with high-quality ingredients and authentic spices, these fortified noodles are rich in calcium and easy to prepare in just 2 minutes. Perfect for quick meals or school lunchboxes.</v>
      </c>
    </row>
    <row r="63">
      <c r="A63" s="9" t="s">
        <v>140</v>
      </c>
      <c r="B63" s="9" t="s">
        <v>134</v>
      </c>
      <c r="C63" s="9">
        <v>90.0</v>
      </c>
      <c r="D63" s="9">
        <v>105.0</v>
      </c>
      <c r="E63" s="9">
        <v>12.0</v>
      </c>
      <c r="F63" s="3">
        <f t="shared" si="1"/>
        <v>6</v>
      </c>
      <c r="G63" s="6" t="s">
        <v>141</v>
      </c>
      <c r="H63" s="7" t="str">
        <f>IFERROR(__xludf.DUMMYFUNCTION("AI(""Write a short product description under 300 characters for "" &amp; A63 &amp; "" in the "" &amp; B63 &amp; "" category"")"),"Enjoy the authentic taste of Doodles Instant Noodles Ramen. This 4-pack of 62g servings offers a quick and delicious snack with a perfect savory seasoning. Easy to prepare and consistently satisfying, it's the ideal choice for a convenient, flavorful meal"&amp;" anytime.")</f>
        <v>Enjoy the authentic taste of Doodles Instant Noodles Ramen. This 4-pack of 62g servings offers a quick and delicious snack with a perfect savory seasoning. Easy to prepare and consistently satisfying, it's the ideal choice for a convenient, flavorful meal anytime.</v>
      </c>
    </row>
    <row r="64">
      <c r="A64" s="9" t="s">
        <v>142</v>
      </c>
      <c r="B64" s="9" t="s">
        <v>134</v>
      </c>
      <c r="C64" s="9">
        <v>182.0</v>
      </c>
      <c r="D64" s="9">
        <v>210.0</v>
      </c>
      <c r="E64" s="9">
        <v>6.0</v>
      </c>
      <c r="F64" s="3">
        <f t="shared" si="1"/>
        <v>3</v>
      </c>
      <c r="G64" s="6" t="s">
        <v>143</v>
      </c>
      <c r="H64" s="7" t="str">
        <f>IFERROR(__xludf.DUMMYFUNCTION("AI(""Write a short product description under 300 characters for "" &amp; A64 &amp; "" in the "" &amp; B64 &amp; "" category"")"),"Savor the authentic and savory taste of Doodles Instant Noodles Ramen. This convenient 8-pack of 62g servings offers a quick, delicious snack that is ready in minutes. Perfect for a busy lifestyle, these noodles provide a satisfying and flavorful treat an"&amp;"y time of day.")</f>
        <v>Savor the authentic and savory taste of Doodles Instant Noodles Ramen. This convenient 8-pack of 62g servings offers a quick, delicious snack that is ready in minutes. Perfect for a busy lifestyle, these noodles provide a satisfying and flavorful treat any time of day.</v>
      </c>
    </row>
    <row r="65">
      <c r="A65" s="9" t="s">
        <v>144</v>
      </c>
      <c r="B65" s="9" t="s">
        <v>134</v>
      </c>
      <c r="C65" s="9">
        <v>17.25</v>
      </c>
      <c r="D65" s="9">
        <v>20.0</v>
      </c>
      <c r="E65" s="9">
        <v>6.0</v>
      </c>
      <c r="F65" s="3">
        <f t="shared" si="1"/>
        <v>3</v>
      </c>
      <c r="G65" s="6" t="s">
        <v>145</v>
      </c>
      <c r="H65" s="7" t="str">
        <f>IFERROR(__xludf.DUMMYFUNCTION("AI(""Write a short product description under 300 characters for "" &amp; A65 &amp; "" in the "" &amp; B65 &amp; "" category"")"),"Doodles Stick Noodles 150g offer a quick and tasty snack for kids and adults alike. These high-quality noodles are easy to prepare, providing essential nutrients like iron and calcium. Perfect for stir-fries or soups, they deliver an authentic, delicious "&amp;"flavor in every bite.")</f>
        <v>Doodles Stick Noodles 150g offer a quick and tasty snack for kids and adults alike. These high-quality noodles are easy to prepare, providing essential nutrients like iron and calcium. Perfect for stir-fries or soups, they deliver an authentic, delicious flavor in every bite.</v>
      </c>
    </row>
    <row r="66">
      <c r="A66" s="9" t="s">
        <v>146</v>
      </c>
      <c r="B66" s="9" t="s">
        <v>134</v>
      </c>
      <c r="C66" s="9">
        <v>43.0</v>
      </c>
      <c r="D66" s="9">
        <v>50.0</v>
      </c>
      <c r="E66" s="9">
        <v>6.0</v>
      </c>
      <c r="F66" s="3">
        <f t="shared" si="1"/>
        <v>3</v>
      </c>
      <c r="G66" s="6" t="s">
        <v>147</v>
      </c>
      <c r="H66" s="7" t="str">
        <f>IFERROR(__xludf.DUMMYFUNCTION("AI(""Write a short product description under 300 characters for "" &amp; A66 &amp; "" in the "" &amp; B66 &amp; "" category"")"),"Doodles Stick Noodles Chicken Delight is a delicious and easy-to-prepare snack that brings a burst of savory chicken flavor to your plate. Enriched with essential nutrients like calcium, these high-quality noodles offer a satisfying texture perfect for qu"&amp;"ick meals or busy schedules.")</f>
        <v>Doodles Stick Noodles Chicken Delight is a delicious and easy-to-prepare snack that brings a burst of savory chicken flavor to your plate. Enriched with essential nutrients like calcium, these high-quality noodles offer a satisfying texture perfect for quick meals or busy schedules.</v>
      </c>
    </row>
    <row r="67">
      <c r="A67" s="9" t="s">
        <v>148</v>
      </c>
      <c r="B67" s="9" t="s">
        <v>134</v>
      </c>
      <c r="C67" s="9">
        <v>16.13</v>
      </c>
      <c r="D67" s="9">
        <v>20.0</v>
      </c>
      <c r="E67" s="9">
        <v>24.0</v>
      </c>
      <c r="F67" s="3">
        <f t="shared" si="1"/>
        <v>12</v>
      </c>
      <c r="G67" s="6" t="s">
        <v>149</v>
      </c>
      <c r="H67" s="7" t="str">
        <f>IFERROR(__xludf.DUMMYFUNCTION("AI(""Write a short product description under 300 characters for "" &amp; A67 &amp; "" in the "" &amp; B67 &amp; "" category"")"),"Enjoy the bold and savory crunch of Detos Nacho Cheese Chips. These uniquely shaped Mexican-style tortilla chips are infused with a rich, cheesy flavor, making them the perfect adventurous snack for any time of day. Conveniently packed in a 30g bag for on"&amp;"-the-go enjoyment.")</f>
        <v>Enjoy the bold and savory crunch of Detos Nacho Cheese Chips. These uniquely shaped Mexican-style tortilla chips are infused with a rich, cheesy flavor, making them the perfect adventurous snack for any time of day. Conveniently packed in a 30g bag for on-the-go enjoyment.</v>
      </c>
    </row>
    <row r="68">
      <c r="A68" s="9" t="s">
        <v>150</v>
      </c>
      <c r="B68" s="9" t="s">
        <v>134</v>
      </c>
      <c r="C68" s="9">
        <v>16.13</v>
      </c>
      <c r="D68" s="9">
        <v>20.0</v>
      </c>
      <c r="E68" s="9">
        <v>24.0</v>
      </c>
      <c r="F68" s="3">
        <f t="shared" si="1"/>
        <v>12</v>
      </c>
      <c r="G68" s="6" t="s">
        <v>151</v>
      </c>
      <c r="H68" s="7" t="str">
        <f>IFERROR(__xludf.DUMMYFUNCTION("AI(""Write a short product description under 300 characters for "" &amp; A68 &amp; "" in the "" &amp; B68 &amp; "" category"")"),"Savor the perfect balance of sweet heat with Detos Sweet Chilli Chips 30g. These crunchy, flavorful chips are seasoned with a zesty sweet chilli blend, offering a satisfying snack for any time of day. Conveniently packed for a delicious on-the-go treat.")</f>
        <v>Savor the perfect balance of sweet heat with Detos Sweet Chilli Chips 30g. These crunchy, flavorful chips are seasoned with a zesty sweet chilli blend, offering a satisfying snack for any time of day. Conveniently packed for a delicious on-the-go treat.</v>
      </c>
    </row>
    <row r="69">
      <c r="A69" s="9" t="s">
        <v>152</v>
      </c>
      <c r="B69" s="9" t="s">
        <v>134</v>
      </c>
      <c r="C69" s="9">
        <v>16.13</v>
      </c>
      <c r="D69" s="9">
        <v>20.0</v>
      </c>
      <c r="E69" s="9">
        <v>24.0</v>
      </c>
      <c r="F69" s="3">
        <f t="shared" si="1"/>
        <v>12</v>
      </c>
      <c r="G69" s="6" t="s">
        <v>153</v>
      </c>
      <c r="H69" s="7" t="str">
        <f>IFERROR(__xludf.DUMMYFUNCTION("AI(""Write a short product description under 300 characters for "" &amp; A69 &amp; "" in the "" &amp; B69 &amp; "" category"")"),"Enjoy a delightful crunch with Poppers Corn Coconut Crackers. These light and crispy puffs are made with fresh milk and butter, delicately seasoned with corn and spices for a smooth, buttery taste. A perfect snack for any time, anywhere. Sourced from Bang"&amp;"ladesh.")</f>
        <v>Enjoy a delightful crunch with Poppers Corn Coconut Crackers. These light and crispy puffs are made with fresh milk and butter, delicately seasoned with corn and spices for a smooth, buttery taste. A perfect snack for any time, anywhere. Sourced from Bangladesh.</v>
      </c>
    </row>
    <row r="70">
      <c r="A70" s="9" t="s">
        <v>154</v>
      </c>
      <c r="B70" s="9" t="s">
        <v>57</v>
      </c>
      <c r="C70" s="9">
        <v>82.0</v>
      </c>
      <c r="D70" s="9">
        <v>95.0</v>
      </c>
      <c r="E70" s="9">
        <v>3.0</v>
      </c>
      <c r="F70" s="3">
        <f t="shared" si="1"/>
        <v>1.5</v>
      </c>
      <c r="G70" s="6" t="s">
        <v>155</v>
      </c>
      <c r="H70" s="7" t="str">
        <f>IFERROR(__xludf.DUMMYFUNCTION("AI(""Write a short product description under 300 characters for "" &amp; A70 &amp; "" in the "" &amp; B70 &amp; "" category"")"),"Enjoy the crisp, golden-baked crunch of Bellame Butter Toast. Made with premium ingredients and a hint of buttery sweetness, these 200g of toasted biscuits are the perfect companion for your morning tea or coffee. Light, satisfying, and delicious in every"&amp;" bite.")</f>
        <v>Enjoy the crisp, golden-baked crunch of Bellame Butter Toast. Made with premium ingredients and a hint of buttery sweetness, these 200g of toasted biscuits are the perfect companion for your morning tea or coffee. Light, satisfying, and delicious in every bite.</v>
      </c>
    </row>
    <row r="71">
      <c r="A71" s="9" t="s">
        <v>156</v>
      </c>
      <c r="B71" s="9" t="s">
        <v>57</v>
      </c>
      <c r="C71" s="9">
        <v>92.0</v>
      </c>
      <c r="D71" s="9">
        <v>110.0</v>
      </c>
      <c r="E71" s="9">
        <v>3.0</v>
      </c>
      <c r="F71" s="3">
        <f t="shared" si="1"/>
        <v>1.5</v>
      </c>
      <c r="G71" s="6" t="s">
        <v>157</v>
      </c>
      <c r="H71" s="7" t="str">
        <f>IFERROR(__xludf.DUMMYFUNCTION("AI(""Write a short product description under 300 characters for "" &amp; A71 &amp; "" in the "" &amp; B71 &amp; "" category"")"),"Indulge in BelleAme Choco Little Cookies, featuring a premium blend of real chocolate and a uniquely satisfying crunch. These 240g biscuits offer a silky-smooth liquid chocolate filling and a rich cocoa flavor, making them the perfect snack for any chocol"&amp;"ate lover at home or on the go.")</f>
        <v>Indulge in BelleAme Choco Little Cookies, featuring a premium blend of real chocolate and a uniquely satisfying crunch. These 240g biscuits offer a silky-smooth liquid chocolate filling and a rich cocoa flavor, making them the perfect snack for any chocolate lover at home or on the go.</v>
      </c>
    </row>
    <row r="72">
      <c r="A72" s="9" t="s">
        <v>158</v>
      </c>
      <c r="B72" s="9" t="s">
        <v>57</v>
      </c>
      <c r="C72" s="9">
        <v>43.0</v>
      </c>
      <c r="D72" s="9">
        <v>50.0</v>
      </c>
      <c r="E72" s="9">
        <v>6.0</v>
      </c>
      <c r="F72" s="3">
        <f t="shared" si="1"/>
        <v>3</v>
      </c>
      <c r="G72" s="6" t="s">
        <v>159</v>
      </c>
      <c r="H72" s="7" t="str">
        <f>IFERROR(__xludf.DUMMYFUNCTION("AI(""Write a short product description under 300 characters for "" &amp; A72 &amp; "" in the "" &amp; B72 &amp; "" category"")"),"Savor the perfect blend of health and indulgence with BelleAme Chocolate Digestive biscuits. These fiber-rich, crunchy digestive biscuits are enrobed in a smooth, real chocolate coating, offering a wholesome yet luxurious treat that pairs perfectly with y"&amp;"our favorite cup of tea or coffee.")</f>
        <v>Savor the perfect blend of health and indulgence with BelleAme Chocolate Digestive biscuits. These fiber-rich, crunchy digestive biscuits are enrobed in a smooth, real chocolate coating, offering a wholesome yet luxurious treat that pairs perfectly with your favorite cup of tea or coffee.</v>
      </c>
    </row>
    <row r="73">
      <c r="A73" s="9" t="s">
        <v>160</v>
      </c>
      <c r="B73" s="9" t="s">
        <v>57</v>
      </c>
      <c r="C73" s="9">
        <v>120.0</v>
      </c>
      <c r="D73" s="9">
        <v>150.0</v>
      </c>
      <c r="E73" s="9">
        <v>3.0</v>
      </c>
      <c r="F73" s="3">
        <f t="shared" si="1"/>
        <v>1.5</v>
      </c>
      <c r="G73" s="6" t="s">
        <v>161</v>
      </c>
      <c r="H73" s="7" t="str">
        <f>IFERROR(__xludf.DUMMYFUNCTION("AI(""Write a short product description under 300 characters for "" &amp; A73 &amp; "" in the "" &amp; B73 &amp; "" category"")"),"Indulge in BelleAme Chocolate Fondue Cookies, featuring a buttery, crunchy outer shell filled with rich, melted chocolate. This 176g pack offers a premium, decadent treat perfect for tea time or a sweet snack. Experience the ultimate blend of silky chocol"&amp;"ate and crisp biscuit in every bite.")</f>
        <v>Indulge in BelleAme Chocolate Fondue Cookies, featuring a buttery, crunchy outer shell filled with rich, melted chocolate. This 176g pack offers a premium, decadent treat perfect for tea time or a sweet snack. Experience the ultimate blend of silky chocolate and crisp biscuit in every bite.</v>
      </c>
    </row>
    <row r="74">
      <c r="A74" s="9" t="s">
        <v>162</v>
      </c>
      <c r="B74" s="9" t="s">
        <v>57</v>
      </c>
      <c r="C74" s="9">
        <v>30.5</v>
      </c>
      <c r="D74" s="9">
        <v>35.0</v>
      </c>
      <c r="E74" s="9">
        <v>6.0</v>
      </c>
      <c r="F74" s="3">
        <f t="shared" si="1"/>
        <v>3</v>
      </c>
      <c r="G74" s="6" t="s">
        <v>163</v>
      </c>
      <c r="H74" s="7" t="str">
        <f>IFERROR(__xludf.DUMMYFUNCTION("AI(""Write a short product description under 300 characters for "" &amp; A74 &amp; "" in the "" &amp; B74 &amp; "" category"")"),"Enjoy the crunchy goodness of Bellame Digestive Biscuits. This 135g pack of fiber-rich biscuits offers a perfect balance of health and taste, making it an ideal guilt-free snack for your tea or coffee breaks. Baked to perfection for a light, satisfying bi"&amp;"te.")</f>
        <v>Enjoy the crunchy goodness of Bellame Digestive Biscuits. This 135g pack of fiber-rich biscuits offers a perfect balance of health and taste, making it an ideal guilt-free snack for your tea or coffee breaks. Baked to perfection for a light, satisfying bite.</v>
      </c>
    </row>
    <row r="75">
      <c r="A75" s="9" t="s">
        <v>164</v>
      </c>
      <c r="B75" s="9" t="s">
        <v>57</v>
      </c>
      <c r="C75" s="9">
        <v>58.0</v>
      </c>
      <c r="D75" s="9">
        <v>70.0</v>
      </c>
      <c r="E75" s="9">
        <v>3.0</v>
      </c>
      <c r="F75" s="3">
        <f t="shared" si="1"/>
        <v>1.5</v>
      </c>
      <c r="G75" s="6" t="s">
        <v>165</v>
      </c>
      <c r="H75" s="7" t="str">
        <f>IFERROR(__xludf.DUMMYFUNCTION("AI(""Write a short product description under 300 characters for "" &amp; A75 &amp; "" in the "" &amp; B75 &amp; "" category"")"),"Indulge in BelleAme Peanut Bite Cookies, a 240g pack of crunchy biscuits stuffed with whole roasted peanuts. These buttery treats offer a premium nutty flavor and are perfect for pairing with tea or coffee. Enjoy a delicious and satisfying snack that is a"&amp;" favorite for nut lovers.")</f>
        <v>Indulge in BelleAme Peanut Bite Cookies, a 240g pack of crunchy biscuits stuffed with whole roasted peanuts. These buttery treats offer a premium nutty flavor and are perfect for pairing with tea or coffee. Enjoy a delicious and satisfying snack that is a favorite for nut lovers.</v>
      </c>
    </row>
    <row r="76">
      <c r="A76" s="9" t="s">
        <v>166</v>
      </c>
      <c r="B76" s="9" t="s">
        <v>167</v>
      </c>
      <c r="C76" s="9">
        <v>86.8</v>
      </c>
      <c r="D76" s="9">
        <v>90.0</v>
      </c>
      <c r="E76" s="9">
        <v>100.0</v>
      </c>
      <c r="F76" s="3">
        <f t="shared" si="1"/>
        <v>50</v>
      </c>
      <c r="G76" s="6" t="s">
        <v>168</v>
      </c>
      <c r="H76" s="7" t="str">
        <f>IFERROR(__xludf.DUMMYFUNCTION("AI(""Write a short product description under 300 characters for "" &amp; A76 &amp; "" in the "" &amp; B76 &amp; "" category"")"),"Nazirshail (Rahman) Loose is a premium, traditional Bangladeshi rice known for its slender, long grains and non-sticky texture. Sourced for quality and purity, it cooks into fluffy, aromatic grains, making it perfect for daily meals, biryani, or polao. En"&amp;"joy authentic flavor in every bite.")</f>
        <v>Nazirshail (Rahman) Loose is a premium, traditional Bangladeshi rice known for its slender, long grains and non-sticky texture. Sourced for quality and purity, it cooks into fluffy, aromatic grains, making it perfect for daily meals, biryani, or polao. Enjoy authentic flavor in every bite.</v>
      </c>
    </row>
    <row r="77">
      <c r="A77" s="9" t="s">
        <v>169</v>
      </c>
      <c r="B77" s="9" t="s">
        <v>167</v>
      </c>
      <c r="C77" s="9">
        <v>2180.0</v>
      </c>
      <c r="D77" s="9">
        <v>2225.0</v>
      </c>
      <c r="E77" s="9">
        <v>8.0</v>
      </c>
      <c r="F77" s="3">
        <f t="shared" si="1"/>
        <v>4</v>
      </c>
      <c r="G77" s="6" t="s">
        <v>170</v>
      </c>
      <c r="H77" s="7" t="str">
        <f>IFERROR(__xludf.DUMMYFUNCTION("AI(""Write a short product description under 300 characters for "" &amp; A77 &amp; "" in the "" &amp; B77 &amp; "" category"")"),"Rahman Nazirshail Rice 25kg offers premium-quality, long-grain parboiled rice known for its fluffy texture and delicate aroma. Naturally nutritious and free from artificial ingredients, it is ideal for daily meals, biryani, and khichuri. A perfect bulk ch"&amp;"oice for families and large households.")</f>
        <v>Rahman Nazirshail Rice 25kg offers premium-quality, long-grain parboiled rice known for its fluffy texture and delicate aroma. Naturally nutritious and free from artificial ingredients, it is ideal for daily meals, biryani, and khichuri. A perfect bulk choice for families and large households.</v>
      </c>
    </row>
    <row r="78">
      <c r="A78" s="9" t="s">
        <v>171</v>
      </c>
      <c r="B78" s="9" t="s">
        <v>167</v>
      </c>
      <c r="C78" s="9">
        <v>2040.0</v>
      </c>
      <c r="D78" s="9">
        <v>2200.0</v>
      </c>
      <c r="E78" s="9">
        <v>2.0</v>
      </c>
      <c r="F78" s="3">
        <f t="shared" si="1"/>
        <v>1</v>
      </c>
      <c r="G78" s="6" t="s">
        <v>172</v>
      </c>
      <c r="H78" s="7" t="str">
        <f>IFERROR(__xludf.DUMMYFUNCTION("AI(""Write a short product description under 300 characters for "" &amp; A78 &amp; "" in the "" &amp; B78 &amp; "" category"")"),"Rupchanda Premium Nazirshail Rice 25kg features long, slender, and polished grains that cook to a fluffy, non-sticky texture. Known for its delicate aroma and superior quality, this nutritious parboiled rice is perfect for daily meals, biryani, and pulao.")</f>
        <v>Rupchanda Premium Nazirshail Rice 25kg features long, slender, and polished grains that cook to a fluffy, non-sticky texture. Known for its delicate aroma and superior quality, this nutritious parboiled rice is perfect for daily meals, biryani, and pulao.</v>
      </c>
    </row>
    <row r="79">
      <c r="A79" s="9" t="s">
        <v>173</v>
      </c>
      <c r="B79" s="9" t="s">
        <v>167</v>
      </c>
      <c r="C79" s="9">
        <v>86.6</v>
      </c>
      <c r="D79" s="9">
        <v>89.0</v>
      </c>
      <c r="E79" s="9">
        <v>100.0</v>
      </c>
      <c r="F79" s="3">
        <f t="shared" si="1"/>
        <v>50</v>
      </c>
      <c r="G79" s="6" t="s">
        <v>174</v>
      </c>
      <c r="H79" s="7" t="str">
        <f>IFERROR(__xludf.DUMMYFUNCTION("AI(""Write a short product description under 300 characters for "" &amp; A79 &amp; "" in the "" &amp; B79 &amp; "" category"")"),"Katari Atob (Rahman) Loose is a premium aromatic rice known for its slender grains and delicate fragrance. It cooks into a soft, fluffy texture, making it an ideal choice for traditional meals and special rice dishes. Sourced for quality to ensure an auth"&amp;"entic taste in every serving.")</f>
        <v>Katari Atob (Rahman) Loose is a premium aromatic rice known for its slender grains and delicate fragrance. It cooks into a soft, fluffy texture, making it an ideal choice for traditional meals and special rice dishes. Sourced for quality to ensure an authentic taste in every serving.</v>
      </c>
    </row>
    <row r="80">
      <c r="A80" s="9" t="s">
        <v>175</v>
      </c>
      <c r="B80" s="9" t="s">
        <v>167</v>
      </c>
      <c r="C80" s="9">
        <v>2175.0</v>
      </c>
      <c r="D80" s="9">
        <v>2200.0</v>
      </c>
      <c r="E80" s="9">
        <v>8.0</v>
      </c>
      <c r="F80" s="3">
        <f t="shared" si="1"/>
        <v>4</v>
      </c>
      <c r="G80" s="6" t="s">
        <v>176</v>
      </c>
      <c r="H80" s="7" t="str">
        <f>IFERROR(__xludf.DUMMYFUNCTION("AI(""Write a short product description under 300 characters for "" &amp; A80 &amp; "" in the "" &amp; B80 &amp; "" category"")"),"Rahman Katari Atob Rice 25KG offers premium, slender grains known for their delicate aroma and fluffy texture. Perfect for biryani, pulao, or daily meals, this high-quality rice is carefully packed to ensure freshness and authentic taste for large familie"&amp;"s and festive occasions.")</f>
        <v>Rahman Katari Atob Rice 25KG offers premium, slender grains known for their delicate aroma and fluffy texture. Perfect for biryani, pulao, or daily meals, this high-quality rice is carefully packed to ensure freshness and authentic taste for large families and festive occasions.</v>
      </c>
    </row>
    <row r="81">
      <c r="A81" s="9" t="s">
        <v>177</v>
      </c>
      <c r="B81" s="9" t="s">
        <v>167</v>
      </c>
      <c r="C81" s="9">
        <v>64.0</v>
      </c>
      <c r="D81" s="9">
        <v>71.0</v>
      </c>
      <c r="E81" s="9">
        <v>100.0</v>
      </c>
      <c r="F81" s="3">
        <f t="shared" si="1"/>
        <v>50</v>
      </c>
      <c r="G81" s="6" t="s">
        <v>178</v>
      </c>
      <c r="H81" s="7" t="str">
        <f>IFERROR(__xludf.DUMMYFUNCTION("AI(""Write a short product description under 300 characters for "" &amp; A81 &amp; "" in the "" &amp; B81 &amp; "" category"")"),"Miniket Atob (Shonko) is a premium variety of fine, polished white rice. These slender, medium-length grains are gluten-free and high in protein. Known for a soft, non-sticky texture and subtle aroma, it is an ideal, cost-effective choice for everyday hea"&amp;"lthy meals.")</f>
        <v>Miniket Atob (Shonko) is a premium variety of fine, polished white rice. These slender, medium-length grains are gluten-free and high in protein. Known for a soft, non-sticky texture and subtle aroma, it is an ideal, cost-effective choice for everyday healthy meals.</v>
      </c>
    </row>
    <row r="82">
      <c r="A82" s="9" t="s">
        <v>179</v>
      </c>
      <c r="B82" s="9" t="s">
        <v>167</v>
      </c>
      <c r="C82" s="9">
        <v>1610.0</v>
      </c>
      <c r="D82" s="9">
        <v>1750.0</v>
      </c>
      <c r="E82" s="9">
        <v>8.0</v>
      </c>
      <c r="F82" s="3">
        <f t="shared" si="1"/>
        <v>4</v>
      </c>
      <c r="G82" s="6" t="s">
        <v>180</v>
      </c>
      <c r="H82" s="7" t="str">
        <f>IFERROR(__xludf.DUMMYFUNCTION("AI(""Write a short product description under 300 characters for "" &amp; A82 &amp; "" in the "" &amp; B82 &amp; "" category"")"),"Experience the premium quality of Miniket Atob Rice (Shonko). These slender, sun-dried non-boiled grains offer a delicate aroma and fluffy, non-sticky texture. Perfect for daily meals and gourmet dishes, this 25KG pack ensures freshness and superior taste"&amp;" for the whole family.")</f>
        <v>Experience the premium quality of Miniket Atob Rice (Shonko). These slender, sun-dried non-boiled grains offer a delicate aroma and fluffy, non-sticky texture. Perfect for daily meals and gourmet dishes, this 25KG pack ensures freshness and superior taste for the whole family.</v>
      </c>
    </row>
    <row r="83">
      <c r="A83" s="9" t="s">
        <v>181</v>
      </c>
      <c r="B83" s="9" t="s">
        <v>167</v>
      </c>
      <c r="C83" s="9">
        <v>137.0</v>
      </c>
      <c r="D83" s="9">
        <v>165.0</v>
      </c>
      <c r="E83" s="9">
        <v>50.0</v>
      </c>
      <c r="F83" s="3">
        <f t="shared" si="1"/>
        <v>25</v>
      </c>
      <c r="G83" s="6" t="s">
        <v>182</v>
      </c>
      <c r="H83" s="7" t="str">
        <f>IFERROR(__xludf.DUMMYFUNCTION("AI(""Write a short product description under 300 characters for "" &amp; A83 &amp; "" in the "" &amp; B83 &amp; "" category"")"),"ACI Chinigura 50KG Loose is a premium aromatic short-grain rice known for its distinct fragrance and soft texture. Ideal for traditional dishes like polao and biryani, this high-quality bulk pack ensures authentic flavor and superior cooking results for e"&amp;"very festive meal.")</f>
        <v>ACI Chinigura 50KG Loose is a premium aromatic short-grain rice known for its distinct fragrance and soft texture. Ideal for traditional dishes like polao and biryani, this high-quality bulk pack ensures authentic flavor and superior cooking results for every festive meal.</v>
      </c>
    </row>
    <row r="84">
      <c r="A84" s="9" t="s">
        <v>183</v>
      </c>
      <c r="B84" s="9" t="s">
        <v>167</v>
      </c>
      <c r="C84" s="9">
        <v>82.4</v>
      </c>
      <c r="D84" s="9">
        <v>87.0</v>
      </c>
      <c r="E84" s="9">
        <v>50.0</v>
      </c>
      <c r="F84" s="3">
        <f t="shared" si="1"/>
        <v>25</v>
      </c>
      <c r="G84" s="6" t="s">
        <v>184</v>
      </c>
      <c r="H84" s="7" t="str">
        <f>IFERROR(__xludf.DUMMYFUNCTION("AI(""Write a short product description under 300 characters for "" &amp; A84 &amp; "" in the "" &amp; B84 &amp; "" category"")"),"Premium Katari C (Nobanno) Loose rice features a delicate aroma and fine, slender grains. Sourced for freshness and high quality, it is perfect for everyday meals or special occasions, ensuring a delicious and fluffy texture in every bite.")</f>
        <v>Premium Katari C (Nobanno) Loose rice features a delicate aroma and fine, slender grains. Sourced for freshness and high quality, it is perfect for everyday meals or special occasions, ensuring a delicious and fluffy texture in every bite.</v>
      </c>
    </row>
    <row r="85">
      <c r="A85" s="9" t="s">
        <v>185</v>
      </c>
      <c r="B85" s="9" t="s">
        <v>167</v>
      </c>
      <c r="C85" s="9">
        <v>2070.0</v>
      </c>
      <c r="D85" s="9">
        <v>2175.0</v>
      </c>
      <c r="E85" s="9">
        <v>4.0</v>
      </c>
      <c r="F85" s="3">
        <f t="shared" si="1"/>
        <v>2</v>
      </c>
      <c r="G85" s="6" t="s">
        <v>186</v>
      </c>
      <c r="H85" s="7" t="str">
        <f>IFERROR(__xludf.DUMMYFUNCTION("AI(""Write a short product description under 300 characters for "" &amp; A85 &amp; "" in the "" &amp; B85 &amp; "" category"")"),"Experience the premium quality of Nobanno Katari Boiled Rice. This 25kg pack offers long, slender grains with a delicate aroma and a light, fluffy texture. Perfect for daily meals and special recipes, it ensures a delicious and authentic taste for your fa"&amp;"mily.")</f>
        <v>Experience the premium quality of Nobanno Katari Boiled Rice. This 25kg pack offers long, slender grains with a delicate aroma and a light, fluffy texture. Perfect for daily meals and special recipes, it ensures a delicious and authentic taste for your family.</v>
      </c>
    </row>
    <row r="86">
      <c r="A86" s="9" t="s">
        <v>187</v>
      </c>
      <c r="B86" s="9" t="s">
        <v>167</v>
      </c>
      <c r="C86" s="9">
        <v>80.4</v>
      </c>
      <c r="D86" s="9">
        <v>86.0</v>
      </c>
      <c r="E86" s="9">
        <v>50.0</v>
      </c>
      <c r="F86" s="3">
        <f t="shared" si="1"/>
        <v>25</v>
      </c>
      <c r="G86" s="6" t="s">
        <v>188</v>
      </c>
      <c r="H86" s="7" t="str">
        <f>IFERROR(__xludf.DUMMYFUNCTION("AI(""Write a short product description under 300 characters for "" &amp; A86 &amp; "" in the "" &amp; B86 &amp; "" category"")"),"Jirashail (Nobanno) Loose is a premium-quality parboiled rice known for its long, slender grains and non-sticky texture. This aromatic rice cooks up fluffy and light, making it a perfect, budget-friendly staple for daily meals, biryani, or pilaf in any ho"&amp;"usehold.")</f>
        <v>Jirashail (Nobanno) Loose is a premium-quality parboiled rice known for its long, slender grains and non-sticky texture. This aromatic rice cooks up fluffy and light, making it a perfect, budget-friendly staple for daily meals, biryani, or pilaf in any household.</v>
      </c>
    </row>
    <row r="87">
      <c r="A87" s="9" t="s">
        <v>189</v>
      </c>
      <c r="B87" s="9" t="s">
        <v>167</v>
      </c>
      <c r="C87" s="9">
        <v>2020.0</v>
      </c>
      <c r="D87" s="9">
        <v>2150.0</v>
      </c>
      <c r="E87" s="9">
        <v>4.0</v>
      </c>
      <c r="F87" s="3">
        <f t="shared" si="1"/>
        <v>2</v>
      </c>
      <c r="G87" s="6" t="s">
        <v>190</v>
      </c>
      <c r="H87" s="7" t="str">
        <f>IFERROR(__xludf.DUMMYFUNCTION("AI(""Write a short product description under 300 characters for "" &amp; A87 &amp; "" in the "" &amp; B87 &amp; "" category"")"),"Nobanno Jirashail 25KG offers premium quality, fine-grain rice known for its delicate aroma and excellent taste. Perfect for daily meals or special occasions, this 25kg pack ensures freshness and superior texture in every grain. A wholesome choice for you"&amp;"r family's favorite rice dishes.")</f>
        <v>Nobanno Jirashail 25KG offers premium quality, fine-grain rice known for its delicate aroma and excellent taste. Perfect for daily meals or special occasions, this 25kg pack ensures freshness and superior texture in every grain. A wholesome choice for your family's favorite rice dishes.</v>
      </c>
    </row>
    <row r="88">
      <c r="A88" s="9" t="s">
        <v>191</v>
      </c>
      <c r="B88" s="9" t="s">
        <v>167</v>
      </c>
      <c r="C88" s="9">
        <v>75.4</v>
      </c>
      <c r="D88" s="9">
        <v>100.0</v>
      </c>
      <c r="E88" s="9">
        <v>50.0</v>
      </c>
      <c r="F88" s="3">
        <f t="shared" si="1"/>
        <v>25</v>
      </c>
      <c r="G88" s="6" t="s">
        <v>192</v>
      </c>
      <c r="H88" s="7" t="str">
        <f>IFERROR(__xludf.DUMMYFUNCTION("AI(""Write a short product description under 300 characters for "" &amp; A88 &amp; "" in the "" &amp; B88 &amp; "" category"")"),"Savor the premium quality of Basmati (Golden) Banglamoti rice. These long, parboiled grains offer a rich aroma, firm texture, and natural golden color. Highly nutritious and non-sticky, it is the perfect choice for creating flavorful biryanis, pulaos, and"&amp;" delicious everyday meals.")</f>
        <v>Savor the premium quality of Basmati (Golden) Banglamoti rice. These long, parboiled grains offer a rich aroma, firm texture, and natural golden color. Highly nutritious and non-sticky, it is the perfect choice for creating flavorful biryanis, pulaos, and delicious everyday meals.</v>
      </c>
    </row>
    <row r="89">
      <c r="A89" s="9" t="s">
        <v>193</v>
      </c>
      <c r="B89" s="9" t="s">
        <v>167</v>
      </c>
      <c r="C89" s="9">
        <v>52.8</v>
      </c>
      <c r="D89" s="9">
        <v>57.0</v>
      </c>
      <c r="E89" s="9">
        <v>50.0</v>
      </c>
      <c r="F89" s="3">
        <f t="shared" si="1"/>
        <v>25</v>
      </c>
      <c r="G89" s="6" t="s">
        <v>194</v>
      </c>
      <c r="H89" s="7" t="str">
        <f>IFERROR(__xludf.DUMMYFUNCTION("AI(""Write a short product description under 300 characters for "" &amp; A89 &amp; "" in the "" &amp; B89 &amp; "" category"")"),"Miniket C (Nouka) Loose is a premium, long-grain parboiled rice known for its slender texture and mild flavor. Perfect for daily meals, it cooks up soft and fluffy, making it an ideal companion for curries and stews. Sourced for quality and affordability "&amp;"in a convenient loose format.")</f>
        <v>Miniket C (Nouka) Loose is a premium, long-grain parboiled rice known for its slender texture and mild flavor. Perfect for daily meals, it cooks up soft and fluffy, making it an ideal companion for curries and stews. Sourced for quality and affordability in a convenient loose format.</v>
      </c>
    </row>
    <row r="90">
      <c r="A90" s="9" t="s">
        <v>195</v>
      </c>
      <c r="B90" s="9" t="s">
        <v>196</v>
      </c>
      <c r="C90" s="9">
        <v>13.5</v>
      </c>
      <c r="D90" s="9">
        <v>18.0</v>
      </c>
      <c r="E90" s="9">
        <v>120.0</v>
      </c>
      <c r="F90" s="3">
        <f t="shared" si="1"/>
        <v>60</v>
      </c>
      <c r="G90" s="6" t="s">
        <v>197</v>
      </c>
      <c r="H90" s="7" t="str">
        <f>IFERROR(__xludf.DUMMYFUNCTION("AI(""Write a short product description under 300 characters for "" &amp; A90 &amp; "" in the "" &amp; B90 &amp; "" category"")"),"Fresh and versatile, these premium potatoes are a kitchen staple for every household. Perfect for boiling, mashing, roasting, or frying, they offer a comforting taste and fluffy texture. Naturally fat-free and nutrient-dense, they are the ideal foundation"&amp;" for a variety of delicious meals.")</f>
        <v>Fresh and versatile, these premium potatoes are a kitchen staple for every household. Perfect for boiling, mashing, roasting, or frying, they offer a comforting taste and fluffy texture. Naturally fat-free and nutrient-dense, they are the ideal foundation for a variety of delicious meals.</v>
      </c>
    </row>
    <row r="91">
      <c r="A91" s="9" t="s">
        <v>198</v>
      </c>
      <c r="B91" s="9" t="s">
        <v>196</v>
      </c>
      <c r="C91" s="9">
        <v>31.0</v>
      </c>
      <c r="D91" s="9">
        <v>38.0</v>
      </c>
      <c r="E91" s="9">
        <v>103.0</v>
      </c>
      <c r="F91" s="3">
        <f t="shared" si="1"/>
        <v>51.5</v>
      </c>
      <c r="G91" s="6" t="s">
        <v>199</v>
      </c>
      <c r="H91" s="7" t="str">
        <f>IFERROR(__xludf.DUMMYFUNCTION("AI(""Write a short product description under 300 characters for "" &amp; A91 &amp; "" in the "" &amp; B91 &amp; "" category"")"),"Fresh and versatile, onions are a kitchen staple essential for boosting flavor in any dish. Rich in antioxidants and nutrients, they offer a pungent, tangy taste whether raw, sautéed, or caramelized. Perfect for soups, salads, and curries, they add both h"&amp;"ealth benefits and savory depth.")</f>
        <v>Fresh and versatile, onions are a kitchen staple essential for boosting flavor in any dish. Rich in antioxidants and nutrients, they offer a pungent, tangy taste whether raw, sautéed, or caramelized. Perfect for soups, salads, and curries, they add both health benefits and savory depth.</v>
      </c>
    </row>
    <row r="92">
      <c r="A92" s="9" t="s">
        <v>200</v>
      </c>
      <c r="B92" s="9" t="s">
        <v>196</v>
      </c>
      <c r="C92" s="9">
        <v>105.0</v>
      </c>
      <c r="D92" s="9">
        <v>145.0</v>
      </c>
      <c r="E92" s="9">
        <v>20.0</v>
      </c>
      <c r="F92" s="3">
        <f t="shared" si="1"/>
        <v>10</v>
      </c>
      <c r="G92" s="6" t="s">
        <v>201</v>
      </c>
      <c r="H92" s="7" t="str">
        <f>IFERROR(__xludf.DUMMYFUNCTION("AI(""Write a short product description under 300 characters for "" &amp; A92 &amp; "" in the "" &amp; B92 &amp; "" category"")"),"Fresh and aromatic, ginger adds a pungent, spicy kick to both sweet and savory dishes. Perfect for stir-fries, curries, and soothing teas, this versatile root is also valued for its medicinal properties, helping to aid digestion and reduce inflammation in"&amp;" every flavorful bite.")</f>
        <v>Fresh and aromatic, ginger adds a pungent, spicy kick to both sweet and savory dishes. Perfect for stir-fries, curries, and soothing teas, this versatile root is also valued for its medicinal properties, helping to aid digestion and reduce inflammation in every flavorful bite.</v>
      </c>
    </row>
    <row r="93">
      <c r="A93" s="9" t="s">
        <v>202</v>
      </c>
      <c r="B93" s="9" t="s">
        <v>196</v>
      </c>
      <c r="C93" s="9">
        <v>137.0</v>
      </c>
      <c r="D93" s="9">
        <v>150.0</v>
      </c>
      <c r="E93" s="9">
        <v>20.0</v>
      </c>
      <c r="F93" s="3">
        <f t="shared" si="1"/>
        <v>10</v>
      </c>
      <c r="G93" s="6" t="s">
        <v>203</v>
      </c>
      <c r="H93" s="7" t="str">
        <f>IFERROR(__xludf.DUMMYFUNCTION("AI(""Write a short product description under 300 characters for "" &amp; A93 &amp; "" in the "" &amp; B93 &amp; "" category"")"),"Elevate your dishes with the bold, pungent flavor of fresh garlic. A kitchen staple for every cuisine, these cloves add aromatic depth to savory recipes. Beyond its culinary magic, garlic is celebrated for its natural health-boosting and immune-supporting"&amp;" properties. Sourced for peak freshness.")</f>
        <v>Elevate your dishes with the bold, pungent flavor of fresh garlic. A kitchen staple for every cuisine, these cloves add aromatic depth to savory recipes. Beyond its culinary magic, garlic is celebrated for its natural health-boosting and immune-supporting properties. Sourced for peak freshness.</v>
      </c>
    </row>
    <row r="94">
      <c r="A94" s="9" t="s">
        <v>189</v>
      </c>
      <c r="B94" s="9" t="s">
        <v>167</v>
      </c>
      <c r="C94" s="9">
        <v>72.8</v>
      </c>
      <c r="D94" s="9">
        <v>86.0</v>
      </c>
      <c r="E94" s="9">
        <v>50.0</v>
      </c>
      <c r="F94" s="3">
        <f t="shared" si="1"/>
        <v>25</v>
      </c>
      <c r="G94" s="6" t="s">
        <v>204</v>
      </c>
      <c r="H94" s="7" t="str">
        <f>IFERROR(__xludf.DUMMYFUNCTION("AI(""Write a short product description under 300 characters for "" &amp; A94 &amp; "" in the "" &amp; B94 &amp; "" category"")"),"Nobanno Jirashail 25KG offers premium, fine-grain parboiled rice known for its delicate aroma and non-sticky texture. Perfect for daily meals, this 25kg bulk pack ensures fluffy, delicious results every time. A wholesome and nutritious choice for the whol"&amp;"e family.")</f>
        <v>Nobanno Jirashail 25KG offers premium, fine-grain parboiled rice known for its delicate aroma and non-sticky texture. Perfect for daily meals, this 25kg bulk pack ensures fluffy, delicious results every time. A wholesome and nutritious choice for the whole family.</v>
      </c>
    </row>
    <row r="95">
      <c r="A95" s="9" t="s">
        <v>169</v>
      </c>
      <c r="B95" s="9" t="s">
        <v>167</v>
      </c>
      <c r="C95" s="9">
        <v>76.0</v>
      </c>
      <c r="D95" s="9">
        <v>90.0</v>
      </c>
      <c r="E95" s="9">
        <v>50.0</v>
      </c>
      <c r="F95" s="3">
        <f t="shared" si="1"/>
        <v>25</v>
      </c>
      <c r="G95" s="6" t="s">
        <v>205</v>
      </c>
      <c r="H95" s="7" t="str">
        <f>IFERROR(__xludf.DUMMYFUNCTION("AI(""Write a short product description under 300 characters for "" &amp; A95 &amp; "" in the "" &amp; B95 &amp; "" category"")"),"Rahman Nazirshail Rice 25kg offers premium-quality, long-grain parboiled rice known for its fluffy texture and delicate aroma. Naturally nutritious and free from artificial ingredients, it is ideal for daily meals, biryani, and khichuri. A perfect bulk ch"&amp;"oice for families and large gatherings.")</f>
        <v>Rahman Nazirshail Rice 25kg offers premium-quality, long-grain parboiled rice known for its fluffy texture and delicate aroma. Naturally nutritious and free from artificial ingredients, it is ideal for daily meals, biryani, and khichuri. A perfect bulk choice for families and large gatherings.</v>
      </c>
    </row>
    <row r="96">
      <c r="A96" s="9" t="s">
        <v>206</v>
      </c>
      <c r="B96" s="9" t="s">
        <v>167</v>
      </c>
      <c r="C96" s="9">
        <v>80.8</v>
      </c>
      <c r="D96" s="9">
        <v>89.0</v>
      </c>
      <c r="E96" s="9">
        <v>50.0</v>
      </c>
      <c r="F96" s="3">
        <f t="shared" si="1"/>
        <v>25</v>
      </c>
      <c r="G96" s="6" t="s">
        <v>207</v>
      </c>
      <c r="H96" s="7" t="str">
        <f>IFERROR(__xludf.DUMMYFUNCTION("AI(""Write a short product description under 300 characters for "" &amp; A96 &amp; "" in the "" &amp; B96 &amp; "" category"")"),"Katari Atob 25KG (Premium) is a high-quality aromatic rice known for its slender grains and delicate fragrance. This traditional variety cooks into a soft, fluffy texture, making it perfect for special dishes and daily meals. Packed in a 25KG bag, it ensu"&amp;"res a long-lasting supply for families.")</f>
        <v>Katari Atob 25KG (Premium) is a high-quality aromatic rice known for its slender grains and delicate fragrance. This traditional variety cooks into a soft, fluffy texture, making it perfect for special dishes and daily meals. Packed in a 25KG bag, it ensures a long-lasting supply for families.</v>
      </c>
    </row>
    <row r="97">
      <c r="A97" s="9" t="s">
        <v>208</v>
      </c>
      <c r="B97" s="9" t="s">
        <v>167</v>
      </c>
      <c r="C97" s="9">
        <v>58.0</v>
      </c>
      <c r="D97" s="9">
        <v>70.0</v>
      </c>
      <c r="E97" s="9">
        <v>50.0</v>
      </c>
      <c r="F97" s="3">
        <f t="shared" si="1"/>
        <v>25</v>
      </c>
      <c r="G97" s="6" t="s">
        <v>209</v>
      </c>
      <c r="H97" s="7" t="str">
        <f>IFERROR(__xludf.DUMMYFUNCTION("AI(""Write a short product description under 300 characters for "" &amp; A97 &amp; "" in the "" &amp; B97 &amp; "" category"")"),"Paijam Atob Boiled Rice 25kg offers premium-quality, medium-sized grains known for their firm texture and nutritional richness. This versatile, parboiled rice cooks up light and fluffy, making it an ideal, budget-friendly staple for daily family meals, st"&amp;"ir-fries, and traditional curries.")</f>
        <v>Paijam Atob Boiled Rice 25kg offers premium-quality, medium-sized grains known for their firm texture and nutritional richness. This versatile, parboiled rice cooks up light and fluffy, making it an ideal, budget-friendly staple for daily family meals, stir-fries, and traditional curries.</v>
      </c>
    </row>
    <row r="98">
      <c r="A98" s="9" t="s">
        <v>210</v>
      </c>
      <c r="B98" s="9" t="s">
        <v>167</v>
      </c>
      <c r="C98" s="9">
        <v>79.0</v>
      </c>
      <c r="D98" s="9">
        <v>100.0</v>
      </c>
      <c r="E98" s="9">
        <v>50.0</v>
      </c>
      <c r="F98" s="3">
        <f t="shared" si="1"/>
        <v>25</v>
      </c>
      <c r="G98" s="6" t="s">
        <v>211</v>
      </c>
      <c r="H98" s="7" t="str">
        <f>IFERROR(__xludf.DUMMYFUNCTION("AI(""Write a short product description under 300 characters for "" &amp; A98 &amp; "" in the "" &amp; B98 &amp; "" category"")"),"Lentils - Masur Daal is a nutrient-rich staple featuring a smooth texture and earthy flavor. Packed with plant-based protein and fiber, these quick-cooking red lentils are perfect for hearty soups, curries, and dals. A versatile, gluten-free essential for"&amp;" healthy, everyday meals.")</f>
        <v>Lentils - Masur Daal is a nutrient-rich staple featuring a smooth texture and earthy flavor. Packed with plant-based protein and fiber, these quick-cooking red lentils are perfect for hearty soups, curries, and dals. A versatile, gluten-free essential for healthy, everyday meals.</v>
      </c>
    </row>
    <row r="99">
      <c r="A99" s="9" t="s">
        <v>212</v>
      </c>
      <c r="B99" s="9" t="s">
        <v>167</v>
      </c>
      <c r="C99" s="9">
        <v>52.0</v>
      </c>
      <c r="D99" s="9">
        <v>70.0</v>
      </c>
      <c r="E99" s="9">
        <v>50.0</v>
      </c>
      <c r="F99" s="3">
        <f t="shared" si="1"/>
        <v>25</v>
      </c>
      <c r="G99" s="6" t="s">
        <v>213</v>
      </c>
      <c r="H99" s="7" t="str">
        <f>IFERROR(__xludf.DUMMYFUNCTION("AI(""Write a short product description under 300 characters for "" &amp; A99 &amp; "" in the "" &amp; B99 &amp; "" category"")"),"Motor Daal (split yellow peas) is a nutritious, protein-rich staple for any kitchen. These versatile lentils offer an earthy flavor and smooth texture, perfect for traditional curries, snacks, or soups. High in fiber and essential minerals, they support a"&amp;" healthy and balanced diet.")</f>
        <v>Motor Daal (split yellow peas) is a nutritious, protein-rich staple for any kitchen. These versatile lentils offer an earthy flavor and smooth texture, perfect for traditional curries, snacks, or soups. High in fiber and essential minerals, they support a healthy and balanced diet.</v>
      </c>
    </row>
    <row r="100">
      <c r="A100" s="9" t="s">
        <v>214</v>
      </c>
      <c r="B100" s="9" t="s">
        <v>167</v>
      </c>
      <c r="C100" s="9">
        <v>53.5</v>
      </c>
      <c r="D100" s="9">
        <v>56.0</v>
      </c>
      <c r="E100" s="9">
        <v>100.0</v>
      </c>
      <c r="F100" s="3">
        <f t="shared" si="1"/>
        <v>50</v>
      </c>
      <c r="G100" s="6" t="s">
        <v>215</v>
      </c>
      <c r="H100" s="7" t="str">
        <f>IFERROR(__xludf.DUMMYFUNCTION("AI(""Write a short product description under 300 characters for "" &amp; A100 &amp; "" in the "" &amp; B100 &amp; "" category"")"),"Shukran Rice Atosh 50KG offers premium quality parboiled rice known for its slender grains and excellent texture. This bulk pack ensures a nutritious, non-sticky staple for daily meals, providing authentic taste and value for large families. Perfect for a"&amp;" variety of traditional rice dishes.")</f>
        <v>Shukran Rice Atosh 50KG offers premium quality parboiled rice known for its slender grains and excellent texture. This bulk pack ensures a nutritious, non-sticky staple for daily meals, providing authentic taste and value for large families. Perfect for a variety of traditional rice dishes.</v>
      </c>
    </row>
    <row r="101">
      <c r="A101" s="9" t="s">
        <v>216</v>
      </c>
      <c r="B101" s="9" t="s">
        <v>196</v>
      </c>
      <c r="C101" s="9">
        <v>31.6</v>
      </c>
      <c r="D101" s="9">
        <v>40.0</v>
      </c>
      <c r="E101" s="9">
        <v>50.0</v>
      </c>
      <c r="F101" s="3">
        <f t="shared" si="1"/>
        <v>25</v>
      </c>
      <c r="G101" s="6" t="s">
        <v>217</v>
      </c>
      <c r="H101" s="7" t="str">
        <f>IFERROR(__xludf.DUMMYFUNCTION("AI(""Write a short product description under 300 characters for "" &amp; A101 &amp; "" in the "" &amp; B101 &amp; "" category"")"),"Elevate your everyday meals with this essential kitchen staple. Our high-quality salt enhances the natural flavors of your favorite savory dishes, from soups and stews to grilled meats and vegetables. A fundamental ingredient for every pantry, it ensures "&amp;"perfectly balanced seasoning in every bite.")</f>
        <v>Elevate your everyday meals with this essential kitchen staple. Our high-quality salt enhances the natural flavors of your favorite savory dishes, from soups and stews to grilled meats and vegetables. A fundamental ingredient for every pantry, it ensures perfectly balanced seasoning in every bite.</v>
      </c>
    </row>
    <row r="102">
      <c r="A102" s="9" t="s">
        <v>218</v>
      </c>
      <c r="B102" s="9" t="s">
        <v>196</v>
      </c>
      <c r="C102" s="9">
        <v>99.0</v>
      </c>
      <c r="D102" s="9">
        <v>104.0</v>
      </c>
      <c r="E102" s="9">
        <v>50.0</v>
      </c>
      <c r="F102" s="3">
        <f t="shared" si="1"/>
        <v>25</v>
      </c>
      <c r="G102" s="6" t="s">
        <v>219</v>
      </c>
      <c r="H102" s="7" t="str">
        <f>IFERROR(__xludf.DUMMYFUNCTION("AI(""Write a short product description under 300 characters for "" &amp; A102 &amp; "" in the "" &amp; B102 &amp; "" category"")"),"Essential for every kitchen, this premium granulated sugar provides a clean, sweet flavor for your daily tea, coffee, and baking needs. Its fine crystals dissolve easily, making it perfect for sweetening desserts, sauces, and beverages with consistent qua"&amp;"lity and taste.")</f>
        <v>Essential for every kitchen, this premium granulated sugar provides a clean, sweet flavor for your daily tea, coffee, and baking needs. Its fine crystals dissolve easily, making it perfect for sweetening desserts, sauces, and beverages with consistent quality and taste.</v>
      </c>
    </row>
    <row r="103">
      <c r="A103" s="9" t="s">
        <v>220</v>
      </c>
      <c r="B103" s="9" t="s">
        <v>167</v>
      </c>
      <c r="C103" s="9">
        <v>72.0</v>
      </c>
      <c r="D103" s="9">
        <v>82.0</v>
      </c>
      <c r="E103" s="9">
        <v>50.0</v>
      </c>
      <c r="F103" s="3">
        <f t="shared" si="1"/>
        <v>25</v>
      </c>
      <c r="G103" s="6" t="s">
        <v>221</v>
      </c>
      <c r="H103" s="7" t="str">
        <f>IFERROR(__xludf.DUMMYFUNCTION("AI(""Write a short product description under 300 characters for "" &amp; A103 &amp; "" in the "" &amp; B103 &amp; "" category"")"),"Bashir Jirashail 25KG offers premium-quality, long-grain parboiled rice known for its slender texture and delicate aroma. Perfectly processed to be non-sticky and fluffy, this nutritious staple is ideal for daily meals, biryani, and khichuri, providing au"&amp;"thentic taste and great value.")</f>
        <v>Bashir Jirashail 25KG offers premium-quality, long-grain parboiled rice known for its slender texture and delicate aroma. Perfectly processed to be non-sticky and fluffy, this nutritious staple is ideal for daily meals, biryani, and khichuri, providing authentic taste and great value.</v>
      </c>
    </row>
    <row r="104">
      <c r="A104" s="9" t="s">
        <v>222</v>
      </c>
      <c r="B104" s="9" t="s">
        <v>196</v>
      </c>
      <c r="C104" s="9">
        <v>40.0</v>
      </c>
      <c r="D104" s="9">
        <v>59.0</v>
      </c>
      <c r="E104" s="9">
        <v>50.0</v>
      </c>
      <c r="F104" s="3">
        <f t="shared" si="1"/>
        <v>25</v>
      </c>
      <c r="G104" s="6" t="s">
        <v>223</v>
      </c>
      <c r="H104" s="7" t="str">
        <f>IFERROR(__xludf.DUMMYFUNCTION("AI(""Write a short product description under 300 characters for "" &amp; A104 &amp; "" in the "" &amp; B104 &amp; "" category"")"),"Our premium loose Moida is a finely milled, all-purpose white flour essential for any kitchen. Its smooth texture and high versatility make it perfect for baking fluffy cakes, pastries, and breads, as well as preparing traditional favorites like naan, par"&amp;"atha, and crispy fried snacks.")</f>
        <v>Our premium loose Moida is a finely milled, all-purpose white flour essential for any kitchen. Its smooth texture and high versatility make it perfect for baking fluffy cakes, pastries, and breads, as well as preparing traditional favorites like naan, paratha, and crispy fried snacks.</v>
      </c>
    </row>
    <row r="105">
      <c r="A105" s="9" t="s">
        <v>224</v>
      </c>
      <c r="B105" s="9" t="s">
        <v>196</v>
      </c>
      <c r="C105" s="9">
        <v>35.0</v>
      </c>
      <c r="D105" s="9">
        <v>49.0</v>
      </c>
      <c r="E105" s="9">
        <v>50.0</v>
      </c>
      <c r="F105" s="3">
        <f t="shared" si="1"/>
        <v>25</v>
      </c>
      <c r="G105" s="6" t="s">
        <v>225</v>
      </c>
      <c r="H105" s="7" t="str">
        <f>IFERROR(__xludf.DUMMYFUNCTION("AI(""Write a short product description under 300 characters for "" &amp; A105 &amp; "" in the "" &amp; B105 &amp; "" category"")"),"Ata - loose is a premium whole wheat flour, traditionally stone-ground to retain essential fiber and nutrients. This versatile staple is perfect for making soft, fluffy rotis, chapatis, and parathas, offering a natural aroma and wholesome taste for your d"&amp;"aily cooking needs.")</f>
        <v>Ata - loose is a premium whole wheat flour, traditionally stone-ground to retain essential fiber and nutrients. This versatile staple is perfect for making soft, fluffy rotis, chapatis, and parathas, offering a natural aroma and wholesome taste for your daily cooking needs.</v>
      </c>
    </row>
    <row r="106">
      <c r="A106" s="9" t="s">
        <v>226</v>
      </c>
      <c r="B106" s="9" t="s">
        <v>196</v>
      </c>
      <c r="C106" s="9">
        <v>76.0</v>
      </c>
      <c r="D106" s="9">
        <v>80.0</v>
      </c>
      <c r="E106" s="9">
        <v>25.0</v>
      </c>
      <c r="F106" s="3">
        <f t="shared" si="1"/>
        <v>12.5</v>
      </c>
      <c r="G106" s="6" t="s">
        <v>227</v>
      </c>
      <c r="H106" s="7" t="str">
        <f>IFERROR(__xludf.DUMMYFUNCTION("AI(""Write a short product description under 300 characters for "" &amp; A106 &amp; "" in the "" &amp; B106 &amp; "" category"")"),"Chona Boot, also known as chickpeas or Bengal gram, is a nutritious and versatile legume essential for any kitchen. High in protein and fiber, these premium-quality grains are perfect for traditional curries, healthy salads, and snacks like the classic Ba"&amp;"ngladeshi Iftar favorite.")</f>
        <v>Chona Boot, also known as chickpeas or Bengal gram, is a nutritious and versatile legume essential for any kitchen. High in protein and fiber, these premium-quality grains are perfect for traditional curries, healthy salads, and snacks like the classic Bangladeshi Iftar favorite.</v>
      </c>
    </row>
    <row r="107">
      <c r="A107" s="9" t="s">
        <v>228</v>
      </c>
      <c r="B107" s="9" t="s">
        <v>229</v>
      </c>
      <c r="C107" s="9">
        <v>189.0</v>
      </c>
      <c r="D107" s="9">
        <v>195.0</v>
      </c>
      <c r="E107" s="9">
        <v>16.0</v>
      </c>
      <c r="F107" s="3">
        <f t="shared" si="1"/>
        <v>8</v>
      </c>
      <c r="G107" s="6" t="s">
        <v>230</v>
      </c>
      <c r="H107" s="7" t="str">
        <f>IFERROR(__xludf.DUMMYFUNCTION("AI(""Write a short product description under 300 characters for "" &amp; A107 &amp; "" in the "" &amp; B107 &amp; "" category"")"),"Rupchanda Fortified Soyabean Oil 1L is a premium-quality cooking oil enriched with Vitamin A to boost immunity and bone health. Featuring a neutral flavor and high smoke point, it is perfect for everyday frying and cooking, ensuring delicious and healthy "&amp;"family meals.")</f>
        <v>Rupchanda Fortified Soyabean Oil 1L is a premium-quality cooking oil enriched with Vitamin A to boost immunity and bone health. Featuring a neutral flavor and high smoke point, it is perfect for everyday frying and cooking, ensuring delicious and healthy family meals.</v>
      </c>
    </row>
    <row r="108">
      <c r="A108" s="9" t="s">
        <v>231</v>
      </c>
      <c r="B108" s="9" t="s">
        <v>229</v>
      </c>
      <c r="C108" s="9">
        <v>384.0</v>
      </c>
      <c r="D108" s="9">
        <v>390.0</v>
      </c>
      <c r="E108" s="9">
        <v>9.0</v>
      </c>
      <c r="F108" s="3">
        <f t="shared" si="1"/>
        <v>4.5</v>
      </c>
      <c r="G108" s="6" t="s">
        <v>232</v>
      </c>
      <c r="H108" s="7" t="str">
        <f>IFERROR(__xludf.DUMMYFUNCTION("AI(""Write a short product description under 300 characters for "" &amp; A108 &amp; "" in the "" &amp; B108 &amp; "" category"")"),"Rupchanda Fortified Soyabean Oil 2L is a premium, heart-healthy cooking oil enriched with Vitamin A. Refined with advanced technology, it offers a light, neutral flavor and high smoke point, perfect for frying, baking, and daily meals while supporting you"&amp;"r family's immunity and health.")</f>
        <v>Rupchanda Fortified Soyabean Oil 2L is a premium, heart-healthy cooking oil enriched with Vitamin A. Refined with advanced technology, it offers a light, neutral flavor and high smoke point, perfect for frying, baking, and daily meals while supporting your family's immunity and health.</v>
      </c>
    </row>
    <row r="109">
      <c r="A109" s="9" t="s">
        <v>233</v>
      </c>
      <c r="B109" s="9" t="s">
        <v>229</v>
      </c>
      <c r="C109" s="9">
        <v>940.0</v>
      </c>
      <c r="D109" s="9">
        <v>955.0</v>
      </c>
      <c r="E109" s="9">
        <v>8.0</v>
      </c>
      <c r="F109" s="3">
        <f t="shared" si="1"/>
        <v>4</v>
      </c>
      <c r="G109" s="6" t="s">
        <v>234</v>
      </c>
      <c r="H109" s="7" t="str">
        <f>IFERROR(__xludf.DUMMYFUNCTION("AI(""Write a short product description under 300 characters for "" &amp; A109 &amp; "" in the "" &amp; B109 &amp; "" category"")"),"Elevate your cooking with Rupchanda Fortified Soyabean Oil. This 5L premium oil is enriched with Vitamin A and refined using advanced technology for purity. With a high smoke point and neutral flavor, it is perfect for healthy frying, sautéing, and everyd"&amp;"ay nutritious family meals.")</f>
        <v>Elevate your cooking with Rupchanda Fortified Soyabean Oil. This 5L premium oil is enriched with Vitamin A and refined using advanced technology for purity. With a high smoke point and neutral flavor, it is perfect for healthy frying, sautéing, and everyday nutritious family meals.</v>
      </c>
    </row>
    <row r="110">
      <c r="A110" s="9" t="s">
        <v>235</v>
      </c>
      <c r="B110" s="9" t="s">
        <v>229</v>
      </c>
      <c r="C110" s="9">
        <v>434.0</v>
      </c>
      <c r="D110" s="9">
        <v>458.0</v>
      </c>
      <c r="E110" s="9">
        <v>2.0</v>
      </c>
      <c r="F110" s="3">
        <f t="shared" si="1"/>
        <v>1</v>
      </c>
      <c r="G110" s="6" t="s">
        <v>236</v>
      </c>
      <c r="H110" s="7" t="str">
        <f>IFERROR(__xludf.DUMMYFUNCTION("AI(""Write a short product description under 300 characters for "" &amp; A110 &amp; "" in the "" &amp; B110 &amp; "" category"")"),"Fortune Rice Bran Oil 2L is a heart-friendly, physically refined oil naturally enriched with Gamma Oryzanol to help manage cholesterol. With a high smoke point and neutral taste, it is perfect for deep-frying, sautéing, and daily cooking, ensuring a healt"&amp;"hy and nutritious choice for your family.")</f>
        <v>Fortune Rice Bran Oil 2L is a heart-friendly, physically refined oil naturally enriched with Gamma Oryzanol to help manage cholesterol. With a high smoke point and neutral taste, it is perfect for deep-frying, sautéing, and daily cooking, ensuring a healthy and nutritious choice for your family.</v>
      </c>
    </row>
    <row r="111">
      <c r="A111" s="9" t="s">
        <v>237</v>
      </c>
      <c r="B111" s="9" t="s">
        <v>229</v>
      </c>
      <c r="C111" s="9">
        <v>1095.0</v>
      </c>
      <c r="D111" s="9">
        <v>1120.0</v>
      </c>
      <c r="E111" s="9">
        <v>2.0</v>
      </c>
      <c r="F111" s="3">
        <f t="shared" si="1"/>
        <v>1</v>
      </c>
      <c r="G111" s="6" t="s">
        <v>238</v>
      </c>
      <c r="H111" s="7" t="str">
        <f>IFERROR(__xludf.DUMMYFUNCTION("AI(""Write a short product description under 300 characters for "" &amp; A111 &amp; "" in the "" &amp; B111 &amp; "" category"")"),"Fortune Rice Bran Oil 5L is a heart-healthy, physically refined cooking oil rich in Gamma Oryzanol and natural antioxidants. With a high smoke point and neutral flavor, it is perfect for deep-frying and sautéing while helping to manage cholesterol levels "&amp;"for your family's wellness.")</f>
        <v>Fortune Rice Bran Oil 5L is a heart-healthy, physically refined cooking oil rich in Gamma Oryzanol and natural antioxidants. With a high smoke point and neutral flavor, it is perfect for deep-frying and sautéing while helping to manage cholesterol levels for your family's wellness.</v>
      </c>
    </row>
    <row r="112">
      <c r="A112" s="9" t="s">
        <v>239</v>
      </c>
      <c r="B112" s="9" t="s">
        <v>229</v>
      </c>
      <c r="C112" s="9">
        <v>710.0</v>
      </c>
      <c r="D112" s="9">
        <v>800.0</v>
      </c>
      <c r="E112" s="9">
        <v>1.0</v>
      </c>
      <c r="F112" s="3">
        <f t="shared" si="1"/>
        <v>0.5</v>
      </c>
      <c r="G112" s="6" t="s">
        <v>240</v>
      </c>
      <c r="H112" s="7" t="str">
        <f>IFERROR(__xludf.DUMMYFUNCTION("AI(""Write a short product description under 300 characters for "" &amp; A112 &amp; "" in the "" &amp; B112 &amp; "" category"")"),"Kings Pure Sunflower Oil 2L is a premium, heart-healthy cooking oil rich in Vitamin E and essential unsaturated fats. With a high smoke point, it is perfect for frying, sautéing, and baking. This naturally cholesterol-free oil ensures a light, non-greasy "&amp;"taste for all your favorite dishes.")</f>
        <v>Kings Pure Sunflower Oil 2L is a premium, heart-healthy cooking oil rich in Vitamin E and essential unsaturated fats. With a high smoke point, it is perfect for frying, sautéing, and baking. This naturally cholesterol-free oil ensures a light, non-greasy taste for all your favorite dishes.</v>
      </c>
    </row>
    <row r="113">
      <c r="A113" s="9" t="s">
        <v>241</v>
      </c>
      <c r="B113" s="9" t="s">
        <v>229</v>
      </c>
      <c r="C113" s="9">
        <v>27.0</v>
      </c>
      <c r="D113" s="9">
        <v>35.0</v>
      </c>
      <c r="E113" s="9">
        <v>12.0</v>
      </c>
      <c r="F113" s="3">
        <f t="shared" si="1"/>
        <v>6</v>
      </c>
      <c r="G113" s="6" t="s">
        <v>242</v>
      </c>
      <c r="H113" s="7" t="str">
        <f>IFERROR(__xludf.DUMMYFUNCTION("AI(""Write a short product description under 300 characters for "" &amp; A113 &amp; "" in the "" &amp; B113 &amp; "" category"")"),"Fortune Mustard Oil 80ml is a premium kachi ghani oil traditionally extracted from the first press of the finest mustard seeds. It features a strong aroma and high pungency, making it perfect for authentic curries and pickles. This cold-pressed oil is ric"&amp;"h in omega-3 and cholesterol-free.")</f>
        <v>Fortune Mustard Oil 80ml is a premium kachi ghani oil traditionally extracted from the first press of the finest mustard seeds. It features a strong aroma and high pungency, making it perfect for authentic curries and pickles. This cold-pressed oil is rich in omega-3 and cholesterol-free.</v>
      </c>
    </row>
    <row r="114">
      <c r="A114" s="9" t="s">
        <v>243</v>
      </c>
      <c r="B114" s="9" t="s">
        <v>229</v>
      </c>
      <c r="C114" s="9">
        <v>75.0</v>
      </c>
      <c r="D114" s="9">
        <v>85.0</v>
      </c>
      <c r="E114" s="9">
        <v>2.0</v>
      </c>
      <c r="F114" s="3">
        <f t="shared" si="1"/>
        <v>1</v>
      </c>
      <c r="G114" s="6" t="s">
        <v>244</v>
      </c>
      <c r="H114" s="7" t="str">
        <f>IFERROR(__xludf.DUMMYFUNCTION("AI(""Write a short product description under 300 characters for "" &amp; A114 &amp; "" in the "" &amp; B114 &amp; "" category"")"),"Fortune Mustard Oil 250ml is a pure, high-pungency Kachi Ghani oil cold-pressed from premium seeds. Ideal for authentic Indian curries and pickles, it retains natural antioxidants and a strong aroma to enhance your daily cooking. This 250ml pack ensures l"&amp;"ong-lasting freshness and health benefits.")</f>
        <v>Fortune Mustard Oil 250ml is a pure, high-pungency Kachi Ghani oil cold-pressed from premium seeds. Ideal for authentic Indian curries and pickles, it retains natural antioxidants and a strong aroma to enhance your daily cooking. This 250ml pack ensures long-lasting freshness and health benefits.</v>
      </c>
    </row>
    <row r="115">
      <c r="A115" s="9" t="s">
        <v>245</v>
      </c>
      <c r="B115" s="9" t="s">
        <v>229</v>
      </c>
      <c r="C115" s="9">
        <v>296.0</v>
      </c>
      <c r="D115" s="9">
        <v>350.0</v>
      </c>
      <c r="E115" s="9">
        <v>3.0</v>
      </c>
      <c r="F115" s="3">
        <f t="shared" si="1"/>
        <v>1.5</v>
      </c>
      <c r="G115" s="6" t="s">
        <v>246</v>
      </c>
      <c r="H115" s="7" t="str">
        <f>IFERROR(__xludf.DUMMYFUNCTION("AI(""Write a short product description under 300 characters for "" &amp; A115 &amp; "" in the "" &amp; B115 &amp; "" category"")"),"Fortune Premium Kachi Ghani Pure Mustard Oil is a high-quality, cold-pressed oil made from select mustard seeds. Known for its high pungency and strong aroma, this heart-healthy oil is rich in Omega-3 and antioxidants, making it perfect for authentic curr"&amp;"ies, pickles, and deep-frying.")</f>
        <v>Fortune Premium Kachi Ghani Pure Mustard Oil is a high-quality, cold-pressed oil made from select mustard seeds. Known for its high pungency and strong aroma, this heart-healthy oil is rich in Omega-3 and antioxidants, making it perfect for authentic curries, pickles, and deep-frying.</v>
      </c>
    </row>
    <row r="116">
      <c r="A116" s="9" t="s">
        <v>247</v>
      </c>
      <c r="B116" s="9" t="s">
        <v>229</v>
      </c>
      <c r="C116" s="9">
        <v>1100.0</v>
      </c>
      <c r="D116" s="9">
        <v>1200.0</v>
      </c>
      <c r="E116" s="9">
        <v>1.0</v>
      </c>
      <c r="F116" s="3">
        <f t="shared" si="1"/>
        <v>0.5</v>
      </c>
      <c r="G116" s="6" t="s">
        <v>248</v>
      </c>
      <c r="H116" s="7" t="str">
        <f>IFERROR(__xludf.DUMMYFUNCTION("AI(""Write a short product description under 300 characters for "" &amp; A116 &amp; "" in the "" &amp; B116 &amp; "" category"")"),"Fortune Kachi Ghani Mustard Oil is a pure, cold-pressed oil made from the finest mustard seeds. Known for its robust aroma and high pungency, it enhances the flavor of traditional dishes and pickles. This 5L jar is rich in Omega-3 and Omega-6, supporting "&amp;"heart health and overall immunity.")</f>
        <v>Fortune Kachi Ghani Mustard Oil is a pure, cold-pressed oil made from the finest mustard seeds. Known for its robust aroma and high pungency, it enhances the flavor of traditional dishes and pickles. This 5L jar is rich in Omega-3 and Omega-6, supporting heart health and overall immunity.</v>
      </c>
    </row>
    <row r="117">
      <c r="A117" s="9" t="s">
        <v>249</v>
      </c>
      <c r="B117" s="9" t="s">
        <v>167</v>
      </c>
      <c r="C117" s="9">
        <v>148.0</v>
      </c>
      <c r="D117" s="9">
        <v>175.0</v>
      </c>
      <c r="E117" s="9">
        <v>10.0</v>
      </c>
      <c r="F117" s="3">
        <f t="shared" si="1"/>
        <v>5</v>
      </c>
      <c r="G117" s="6" t="s">
        <v>250</v>
      </c>
      <c r="H117" s="7" t="str">
        <f>IFERROR(__xludf.DUMMYFUNCTION("AI(""Write a short product description under 300 characters for "" &amp; A117 &amp; "" in the "" &amp; B117 &amp; "" category"")"),"Rupchanda Chinigura Rice 1kg offers premium aromatic grains with an authentic fragrance and non-sticky texture. Aged for three months and free from broken grains, it is the perfect choice for preparing exquisite polao, biryani, and payesh for your family "&amp;"and festive occasions.")</f>
        <v>Rupchanda Chinigura Rice 1kg offers premium aromatic grains with an authentic fragrance and non-sticky texture. Aged for three months and free from broken grains, it is the perfect choice for preparing exquisite polao, biryani, and payesh for your family and festive occasions.</v>
      </c>
    </row>
    <row r="118">
      <c r="A118" s="9" t="s">
        <v>251</v>
      </c>
      <c r="B118" s="9" t="s">
        <v>167</v>
      </c>
      <c r="C118" s="9">
        <v>330.0</v>
      </c>
      <c r="D118" s="9">
        <v>400.0</v>
      </c>
      <c r="E118" s="9">
        <v>2.0</v>
      </c>
      <c r="F118" s="3">
        <f t="shared" si="1"/>
        <v>1</v>
      </c>
      <c r="G118" s="6" t="s">
        <v>252</v>
      </c>
      <c r="H118" s="7" t="str">
        <f>IFERROR(__xludf.DUMMYFUNCTION("AI(""Write a short product description under 300 characters for "" &amp; A118 &amp; "" in the "" &amp; B118 &amp; "" category"")"),"Fortune Biryani Special Basmati Rice 1kg offers extra-long, pristine white grains with a rich aroma. Specially selected for its non-sticky texture, it elongates over twice its length when cooked, making it ideal for perfect Hyderabadi or Lucknowi biryani "&amp;"and festive feasts.")</f>
        <v>Fortune Biryani Special Basmati Rice 1kg offers extra-long, pristine white grains with a rich aroma. Specially selected for its non-sticky texture, it elongates over twice its length when cooked, making it ideal for perfect Hyderabadi or Lucknowi biryani and festive feasts.</v>
      </c>
    </row>
    <row r="119">
      <c r="A119" s="9" t="s">
        <v>253</v>
      </c>
      <c r="B119" s="9" t="s">
        <v>254</v>
      </c>
      <c r="C119" s="9">
        <v>24.0</v>
      </c>
      <c r="D119" s="9">
        <v>30.0</v>
      </c>
      <c r="E119" s="9">
        <v>42.0</v>
      </c>
      <c r="F119" s="3">
        <f t="shared" si="1"/>
        <v>21</v>
      </c>
      <c r="G119" s="6" t="s">
        <v>255</v>
      </c>
      <c r="H119" s="7" t="str">
        <f>IFERROR(__xludf.DUMMYFUNCTION("AI(""Write a short product description under 300 characters for "" &amp; A119 &amp; "" in the "" &amp; B119 &amp; "" category"")"),"Indulge in a quick break with the Kitkat 1 Finger. This classic treat features a crispy wafer coated in smooth milk chocolate. Perfectly portioned for a light snack, it offers the iconic crunch and sweetness you love in a convenient, on-the-go size. Take "&amp;"a break, have a Kitkat!")</f>
        <v>Indulge in a quick break with the Kitkat 1 Finger. This classic treat features a crispy wafer coated in smooth milk chocolate. Perfectly portioned for a light snack, it offers the iconic crunch and sweetness you love in a convenient, on-the-go size. Take a break, have a Kitkat!</v>
      </c>
    </row>
    <row r="120">
      <c r="A120" s="9" t="s">
        <v>256</v>
      </c>
      <c r="B120" s="9" t="s">
        <v>254</v>
      </c>
      <c r="C120" s="9">
        <v>52.0</v>
      </c>
      <c r="D120" s="9">
        <v>65.0</v>
      </c>
      <c r="E120" s="9">
        <v>21.0</v>
      </c>
      <c r="F120" s="3">
        <f t="shared" si="1"/>
        <v>10.5</v>
      </c>
      <c r="G120" s="6" t="s">
        <v>257</v>
      </c>
      <c r="H120" s="7" t="str">
        <f>IFERROR(__xludf.DUMMYFUNCTION("AI(""Write a short product description under 300 characters for "" &amp; A120 &amp; "" in the "" &amp; B120 &amp; "" category"")"),"Indulge in a delicious break with the Kitkat 3 Finger bar. Featuring three crispy wafer fingers enveloped in smooth milk chocolate, this classic treat offers the perfect balance of crunch and sweetness. Ideal for sharing or enjoying alone, it is a satisfy"&amp;"ing snack for any chocolate lover.")</f>
        <v>Indulge in a delicious break with the Kitkat 3 Finger bar. Featuring three crispy wafer fingers enveloped in smooth milk chocolate, this classic treat offers the perfect balance of crunch and sweetness. Ideal for sharing or enjoying alone, it is a satisfying snack for any chocolate lover.</v>
      </c>
    </row>
    <row r="121">
      <c r="A121" s="9" t="s">
        <v>258</v>
      </c>
      <c r="B121" s="9" t="s">
        <v>254</v>
      </c>
      <c r="C121" s="9">
        <v>68.0</v>
      </c>
      <c r="D121" s="9">
        <v>80.0</v>
      </c>
      <c r="E121" s="9">
        <v>28.0</v>
      </c>
      <c r="F121" s="3">
        <f t="shared" si="1"/>
        <v>14</v>
      </c>
      <c r="G121" s="6" t="s">
        <v>259</v>
      </c>
      <c r="H121" s="7" t="str">
        <f>IFERROR(__xludf.DUMMYFUNCTION("AI(""Write a short product description under 300 characters for "" &amp; A121 &amp; "" in the "" &amp; B121 &amp; "" category"")"),"Indulge in the iconic KitKat 4 Finger bar, featuring a perfect balance of four crispy wafer fingers enrobed in smooth, creamy milk chocolate. Designed for a playful snack, it is the ultimate treat to tear, break, and enjoy during your break. Made with sus"&amp;"tainably sourced cocoa.")</f>
        <v>Indulge in the iconic KitKat 4 Finger bar, featuring a perfect balance of four crispy wafer fingers enrobed in smooth, creamy milk chocolate. Designed for a playful snack, it is the ultimate treat to tear, break, and enjoy during your break. Made with sustainably sourced cocoa.</v>
      </c>
    </row>
    <row r="122">
      <c r="A122" s="9" t="s">
        <v>260</v>
      </c>
      <c r="B122" s="9" t="s">
        <v>261</v>
      </c>
      <c r="C122" s="9">
        <v>24.0</v>
      </c>
      <c r="D122" s="9">
        <v>30.0</v>
      </c>
      <c r="E122" s="9">
        <v>60.0</v>
      </c>
      <c r="F122" s="3">
        <f t="shared" si="1"/>
        <v>30</v>
      </c>
      <c r="G122" s="6" t="s">
        <v>262</v>
      </c>
      <c r="H122" s="7" t="str">
        <f>IFERROR(__xludf.DUMMYFUNCTION("AI(""Write a short product description under 300 characters for "" &amp; A122 &amp; "" in the "" &amp; B122 &amp; "" category"")"),"Refresh yourself with Taaqa Juice, a premium beverage made from 100% pure fruit. With no added sugar or preservatives, it delivers the natural goodness of nature in every sip. Perfect for a healthy on-the-go boost or as a flavorful mixer for your favorite"&amp;" drinks. Enjoy the taste of pure fruit.")</f>
        <v>Refresh yourself with Taaqa Juice, a premium beverage made from 100% pure fruit. With no added sugar or preservatives, it delivers the natural goodness of nature in every sip. Perfect for a healthy on-the-go boost or as a flavorful mixer for your favorite drinks. Enjoy the taste of pure fruit.</v>
      </c>
    </row>
    <row r="123">
      <c r="A123" s="9" t="s">
        <v>263</v>
      </c>
      <c r="B123" s="9" t="s">
        <v>261</v>
      </c>
      <c r="C123" s="9">
        <v>50.0</v>
      </c>
      <c r="D123" s="9">
        <v>60.0</v>
      </c>
      <c r="E123" s="9">
        <v>4.0</v>
      </c>
      <c r="F123" s="3">
        <f t="shared" si="1"/>
        <v>2</v>
      </c>
      <c r="G123" s="6" t="s">
        <v>264</v>
      </c>
      <c r="H123" s="7" t="str">
        <f>IFERROR(__xludf.DUMMYFUNCTION("AI(""Write a short product description under 300 characters for "" &amp; A123 &amp; "" in the "" &amp; B123 &amp; "" category"")"),"Nutrilife Can is a refreshing functional beverage designed for performance and hydration. With zero sugar and zero calories, this sparkling drink is powered by nitric oxide-boosting ingredients and electrolytes to help you hydrate, perform, and recover wi"&amp;"thout the crash.")</f>
        <v>Nutrilife Can is a refreshing functional beverage designed for performance and hydration. With zero sugar and zero calories, this sparkling drink is powered by nitric oxide-boosting ingredients and electrolytes to help you hydrate, perform, and recover without the crash.</v>
      </c>
    </row>
    <row r="124">
      <c r="A124" s="9" t="s">
        <v>265</v>
      </c>
      <c r="B124" s="9" t="s">
        <v>261</v>
      </c>
      <c r="C124" s="9">
        <v>36.0</v>
      </c>
      <c r="D124" s="9">
        <v>45.0</v>
      </c>
      <c r="E124" s="9">
        <v>6.0</v>
      </c>
      <c r="F124" s="3">
        <f t="shared" si="1"/>
        <v>3</v>
      </c>
      <c r="G124" s="6" t="s">
        <v>266</v>
      </c>
      <c r="H124" s="7" t="str">
        <f>IFERROR(__xludf.DUMMYFUNCTION("AI(""Write a short product description under 300 characters for "" &amp; A124 &amp; "" in the "" &amp; B124 &amp; "" category"")"),"Experience the refreshing taste of Nutrilife Mango Juice 160ML. Made from premium quality mangoes, this tropical beverage offers a rich, sweet flavor packed with vitamins and antioxidants. With no added preservatives, it is the perfect on-the-go refreshme"&amp;"nt or a healthy breakfast boost.")</f>
        <v>Experience the refreshing taste of Nutrilife Mango Juice 160ML. Made from premium quality mangoes, this tropical beverage offers a rich, sweet flavor packed with vitamins and antioxidants. With no added preservatives, it is the perfect on-the-go refreshment or a healthy breakfast boost.</v>
      </c>
    </row>
    <row r="125">
      <c r="A125" s="9" t="s">
        <v>267</v>
      </c>
      <c r="B125" s="9" t="s">
        <v>261</v>
      </c>
      <c r="C125" s="9">
        <v>36.0</v>
      </c>
      <c r="D125" s="9">
        <v>45.0</v>
      </c>
      <c r="E125" s="9">
        <v>6.0</v>
      </c>
      <c r="F125" s="3">
        <f t="shared" si="1"/>
        <v>3</v>
      </c>
      <c r="G125" s="6" t="s">
        <v>268</v>
      </c>
      <c r="H125" s="7" t="str">
        <f>IFERROR(__xludf.DUMMYFUNCTION("AI(""Write a short product description under 300 characters for "" &amp; A125 &amp; "" in the "" &amp; B125 &amp; "" category"")"),"Experience the refreshing taste of Nutrilife Orange Juice Fruit Magic. Sourced from Bhutan, this 160ml bottle is packed with vitamin C and natural antioxidants. With no added preservatives, it is a tangy, zesty, and healthy on-the-go beverage perfect for "&amp;"any time of day.")</f>
        <v>Experience the refreshing taste of Nutrilife Orange Juice Fruit Magic. Sourced from Bhutan, this 160ml bottle is packed with vitamin C and natural antioxidants. With no added preservatives, it is a tangy, zesty, and healthy on-the-go beverage perfect for any time of day.</v>
      </c>
    </row>
    <row r="126">
      <c r="A126" s="9" t="s">
        <v>269</v>
      </c>
      <c r="B126" s="9" t="s">
        <v>261</v>
      </c>
      <c r="C126" s="9">
        <v>227.0</v>
      </c>
      <c r="D126" s="9">
        <v>295.0</v>
      </c>
      <c r="E126" s="9">
        <v>1.0</v>
      </c>
      <c r="F126" s="3">
        <f t="shared" si="1"/>
        <v>0.5</v>
      </c>
      <c r="G126" s="6" t="s">
        <v>270</v>
      </c>
      <c r="H126" s="7" t="str">
        <f>IFERROR(__xludf.DUMMYFUNCTION("AI(""Write a short product description under 300 characters for "" &amp; A126 &amp; "" in the "" &amp; B126 &amp; "" category"")"),"Savor the tropical taste of Nutrilife Mango Juice 1L. Made from 100% pure squeezed mangoes sourced from Bhutan, this refreshing beverage contains no added sugar or preservatives. Rich in Vitamin C and antioxidants, it’s a healthy, gluten-free treat perfec"&amp;"t for breakfast or all-day hydration.")</f>
        <v>Savor the tropical taste of Nutrilife Mango Juice 1L. Made from 100% pure squeezed mangoes sourced from Bhutan, this refreshing beverage contains no added sugar or preservatives. Rich in Vitamin C and antioxidants, it’s a healthy, gluten-free treat perfect for breakfast or all-day hydration.</v>
      </c>
    </row>
    <row r="127">
      <c r="A127" s="9" t="s">
        <v>271</v>
      </c>
      <c r="B127" s="9" t="s">
        <v>261</v>
      </c>
      <c r="C127" s="9">
        <v>227.0</v>
      </c>
      <c r="D127" s="9">
        <v>295.0</v>
      </c>
      <c r="E127" s="9">
        <v>2.0</v>
      </c>
      <c r="F127" s="3">
        <f t="shared" si="1"/>
        <v>1</v>
      </c>
      <c r="G127" s="6" t="s">
        <v>272</v>
      </c>
      <c r="H127" s="7" t="str">
        <f>IFERROR(__xludf.DUMMYFUNCTION("AI(""Write a short product description under 300 characters for "" &amp; A127 &amp; "" in the "" &amp; B127 &amp; "" category"")"),"Enjoy the refreshing taste of Nutrilife Orange Juice 1L. Sourced from premium oranges, this nutritious beverage is packed with Vitamin C and antioxidants. With no added preservatives, it offers a burst of tangy sweetness, making it the perfect healthy pic"&amp;"k-me-up for any time of day.")</f>
        <v>Enjoy the refreshing taste of Nutrilife Orange Juice 1L. Sourced from premium oranges, this nutritious beverage is packed with Vitamin C and antioxidants. With no added preservatives, it offers a burst of tangy sweetness, making it the perfect healthy pick-me-up for any time of day.</v>
      </c>
    </row>
    <row r="128">
      <c r="A128" s="9" t="s">
        <v>273</v>
      </c>
      <c r="B128" s="9" t="s">
        <v>261</v>
      </c>
      <c r="C128" s="9">
        <v>292.0</v>
      </c>
      <c r="D128" s="9">
        <v>350.0</v>
      </c>
      <c r="E128" s="9">
        <v>1.0</v>
      </c>
      <c r="F128" s="3">
        <f t="shared" si="1"/>
        <v>0.5</v>
      </c>
      <c r="G128" s="6" t="s">
        <v>274</v>
      </c>
      <c r="H128" s="7" t="str">
        <f>IFERROR(__xludf.DUMMYFUNCTION("AI(""Write a short product description under 300 characters for "" &amp; A128 &amp; "" in the "" &amp; B128 &amp; "" category"")"),"Refresh and revitalize with Nutrilife Pomegranate Juice. This 1L bottle offers a delicious, high-quality fruit drink perfect for all ages. Enjoy the natural, tangy-sweet flavor of pomegranate in every sip, whether at home or on the go. No added preservati"&amp;"ves for a pure, refreshing experience.")</f>
        <v>Refresh and revitalize with Nutrilife Pomegranate Juice. This 1L bottle offers a delicious, high-quality fruit drink perfect for all ages. Enjoy the natural, tangy-sweet flavor of pomegranate in every sip, whether at home or on the go. No added preservatives for a pure, refreshing experience.</v>
      </c>
    </row>
    <row r="129">
      <c r="A129" s="9" t="s">
        <v>275</v>
      </c>
      <c r="B129" s="9" t="s">
        <v>261</v>
      </c>
      <c r="C129" s="9">
        <v>330.0</v>
      </c>
      <c r="D129" s="9">
        <v>360.0</v>
      </c>
      <c r="E129" s="9">
        <v>1.0</v>
      </c>
      <c r="F129" s="3">
        <f t="shared" si="1"/>
        <v>0.5</v>
      </c>
      <c r="G129" s="6" t="s">
        <v>276</v>
      </c>
      <c r="H129" s="7" t="str">
        <f>IFERROR(__xludf.DUMMYFUNCTION("AI(""Write a short product description under 300 characters for "" &amp; A129 &amp; "" in the "" &amp; B129 &amp; "" category"")"),"Experience the crisp and refreshing taste of Nutrilife Cranberry 1L. This premium beverage delivers a bold, tangy cranberry flavor that revitalizes your day. Perfect for any occasion, it is a delicious way to stay hydrated and refreshed.")</f>
        <v>Experience the crisp and refreshing taste of Nutrilife Cranberry 1L. This premium beverage delivers a bold, tangy cranberry flavor that revitalizes your day. Perfect for any occasion, it is a delicious way to stay hydrated and refreshed.</v>
      </c>
    </row>
    <row r="130">
      <c r="A130" s="9" t="s">
        <v>277</v>
      </c>
      <c r="B130" s="9" t="s">
        <v>254</v>
      </c>
      <c r="C130" s="9">
        <v>103.0</v>
      </c>
      <c r="D130" s="9">
        <v>120.0</v>
      </c>
      <c r="E130" s="9">
        <v>3.0</v>
      </c>
      <c r="F130" s="3">
        <f t="shared" si="1"/>
        <v>1.5</v>
      </c>
      <c r="G130" s="6" t="s">
        <v>278</v>
      </c>
      <c r="H130" s="7" t="str">
        <f>IFERROR(__xludf.DUMMYFUNCTION("AI(""Write a short product description under 300 characters for "" &amp; A130 &amp; "" in the "" &amp; B130 &amp; "" category"")"),"Indulge in our delicious Oats Bar, a perfect blend of wholesome oats and premium chocolate. This crunchy yet chewy treat offers a satisfying snack for any time of day, combining the goodness of grains with a touch of sweetness. Ideal for a quick energy bo"&amp;"ost or a guilt-free candy alternative.")</f>
        <v>Indulge in our delicious Oats Bar, a perfect blend of wholesome oats and premium chocolate. This crunchy yet chewy treat offers a satisfying snack for any time of day, combining the goodness of grains with a touch of sweetness. Ideal for a quick energy boost or a guilt-free candy alternative.</v>
      </c>
    </row>
    <row r="131">
      <c r="A131" s="9" t="s">
        <v>279</v>
      </c>
      <c r="B131" s="9" t="s">
        <v>254</v>
      </c>
      <c r="C131" s="9">
        <v>25.0</v>
      </c>
      <c r="D131" s="9">
        <v>30.0</v>
      </c>
      <c r="E131" s="9">
        <v>24.0</v>
      </c>
      <c r="F131" s="3">
        <f t="shared" si="1"/>
        <v>12</v>
      </c>
      <c r="G131" s="6" t="s">
        <v>280</v>
      </c>
      <c r="H131" s="7" t="str">
        <f>IFERROR(__xludf.DUMMYFUNCTION("AI(""Write a short product description under 300 characters for "" &amp; A131 &amp; "" in the "" &amp; B131 &amp; "" category"")"),"Experience a burst of cooling mint with Center Fresh Chewing Gum. Each piece features a unique liquid-filled center that provides an instant rush of freshness and long-lasting breath confidence. Perfect for a quick pick-me-up anytime, anywhere.")</f>
        <v>Experience a burst of cooling mint with Center Fresh Chewing Gum. Each piece features a unique liquid-filled center that provides an instant rush of freshness and long-lasting breath confidence. Perfect for a quick pick-me-up anytime, anywhere.</v>
      </c>
    </row>
    <row r="132">
      <c r="A132" s="9" t="s">
        <v>281</v>
      </c>
      <c r="C132" s="9">
        <v>74.0</v>
      </c>
      <c r="D132" s="9">
        <v>85.0</v>
      </c>
      <c r="E132" s="9">
        <v>10.0</v>
      </c>
      <c r="F132" s="3">
        <f t="shared" si="1"/>
        <v>5</v>
      </c>
      <c r="G132" s="6" t="s">
        <v>282</v>
      </c>
      <c r="H132" s="7" t="str">
        <f>IFERROR(__xludf.DUMMYFUNCTION("AI(""Write a short product description under 300 characters for "" &amp; A132 &amp; "" in the "" &amp; B132 &amp; "" category"")"),"Isubgul, also known as psyllium husk, is a natural soluble fiber that promotes digestive health. It effectively relieves constipation, supports weight management by inducing fullness, and helps regulate blood sugar and cholesterol levels for overall heart"&amp;" and gut wellness.")</f>
        <v>Isubgul, also known as psyllium husk, is a natural soluble fiber that promotes digestive health. It effectively relieves constipation, supports weight management by inducing fullness, and helps regulate blood sugar and cholesterol levels for overall heart and gut wellness.</v>
      </c>
    </row>
    <row r="133">
      <c r="A133" s="9" t="s">
        <v>283</v>
      </c>
      <c r="C133" s="9">
        <v>42.0</v>
      </c>
      <c r="D133" s="9">
        <v>50.0</v>
      </c>
      <c r="E133" s="9">
        <v>12.0</v>
      </c>
      <c r="F133" s="3">
        <f t="shared" si="1"/>
        <v>6</v>
      </c>
      <c r="G133" s="6" t="s">
        <v>284</v>
      </c>
      <c r="H133" s="7" t="str">
        <f>IFERROR(__xludf.DUMMYFUNCTION("AI(""Write a short product description under 300 characters for "" &amp; A133 &amp; "" in the "" &amp; B133 &amp; "" category"")"),"Elevate your culinary creations with Tastemaker Tasting Salt. This premium flavor enhancer expertly balances sweetness and umami while reducing bitterness. Perfect for seasoning meats, soups, and snacks, it adds depth and a gourmet touch to every dish wit"&amp;"hout any added MSG.")</f>
        <v>Elevate your culinary creations with Tastemaker Tasting Salt. This premium flavor enhancer expertly balances sweetness and umami while reducing bitterness. Perfect for seasoning meats, soups, and snacks, it adds depth and a gourmet touch to every dish without any added MSG.</v>
      </c>
    </row>
    <row r="134">
      <c r="A134" s="9" t="s">
        <v>285</v>
      </c>
      <c r="B134" s="9" t="s">
        <v>254</v>
      </c>
      <c r="C134" s="9">
        <v>33.33</v>
      </c>
      <c r="D134" s="9">
        <v>40.0</v>
      </c>
      <c r="E134" s="9">
        <v>24.0</v>
      </c>
      <c r="F134" s="3">
        <f t="shared" si="1"/>
        <v>12</v>
      </c>
      <c r="G134" s="6" t="s">
        <v>286</v>
      </c>
      <c r="H134" s="7" t="str">
        <f>IFERROR(__xludf.DUMMYFUNCTION("AI(""Write a short product description under 300 characters for "" &amp; A134 &amp; "" in the "" &amp; B134 &amp; "" category"")"),"Experience the iconic, refreshing taste of Mentos Chewy Mints. These classic dragees offer a unique combination of a crisp outer shell and a satisfyingly chewy center. Perfect for on-the-go freshness and sharing, they provide a long-lasting burst of flavo"&amp;"r that brightens your day.")</f>
        <v>Experience the iconic, refreshing taste of Mentos Chewy Mints. These classic dragees offer a unique combination of a crisp outer shell and a satisfyingly chewy center. Perfect for on-the-go freshness and sharing, they provide a long-lasting burst of flavor that brightens your day.</v>
      </c>
    </row>
    <row r="135">
      <c r="A135" s="9" t="s">
        <v>287</v>
      </c>
      <c r="B135" s="9" t="s">
        <v>134</v>
      </c>
      <c r="C135" s="9">
        <v>17.0</v>
      </c>
      <c r="D135" s="9">
        <v>20.0</v>
      </c>
      <c r="E135" s="9">
        <v>24.0</v>
      </c>
      <c r="F135" s="3">
        <f t="shared" si="1"/>
        <v>12</v>
      </c>
      <c r="G135" s="6" t="s">
        <v>288</v>
      </c>
      <c r="H135" s="7" t="str">
        <f>IFERROR(__xludf.DUMMYFUNCTION("AI(""Write a short product description under 300 characters for "" &amp; A135 &amp; "" in the "" &amp; B135 &amp; "" category"")"),"Savor the savory, crunchy taste of Meridian Chicken Chips. Perfectly seasoned with rich chicken flavor, these light and crispy snacks offer a satisfying bite every time. Ideal for quick on-the-go snacking or as a tasty treat for the whole family.")</f>
        <v>Savor the savory, crunchy taste of Meridian Chicken Chips. Perfectly seasoned with rich chicken flavor, these light and crispy snacks offer a satisfying bite every time. Ideal for quick on-the-go snacking or as a tasty treat for the whole family.</v>
      </c>
    </row>
    <row r="136">
      <c r="A136" s="9" t="s">
        <v>289</v>
      </c>
      <c r="B136" s="9" t="s">
        <v>134</v>
      </c>
      <c r="C136" s="9">
        <v>17.0</v>
      </c>
      <c r="D136" s="9">
        <v>20.0</v>
      </c>
      <c r="E136" s="9">
        <v>24.0</v>
      </c>
      <c r="F136" s="3">
        <f t="shared" si="1"/>
        <v>12</v>
      </c>
      <c r="G136" s="6" t="s">
        <v>290</v>
      </c>
      <c r="H136" s="7" t="str">
        <f>IFERROR(__xludf.DUMMYFUNCTION("AI(""Write a short product description under 300 characters for "" &amp; A136 &amp; "" in the "" &amp; B136 &amp; "" category"")"),"Meridian Real Thai Shrimp Chips are a deliciously crispy snack made with real shrimp meat and authentic Thai seasonings. These chips offer a perfect blend of savory seafood flavor and satisfying crunch, making them an irresistible treat for snacking anyti"&amp;"me. Sourced from Bangladesh.")</f>
        <v>Meridian Real Thai Shrimp Chips are a deliciously crispy snack made with real shrimp meat and authentic Thai seasonings. These chips offer a perfect blend of savory seafood flavor and satisfying crunch, making them an irresistible treat for snacking anytime. Sourced from Bangladesh.</v>
      </c>
    </row>
    <row r="137">
      <c r="A137" s="9" t="s">
        <v>291</v>
      </c>
      <c r="B137" s="9" t="s">
        <v>134</v>
      </c>
      <c r="C137" s="9">
        <v>14.16</v>
      </c>
      <c r="D137" s="9">
        <v>20.0</v>
      </c>
      <c r="E137" s="9">
        <v>24.0</v>
      </c>
      <c r="F137" s="3">
        <f t="shared" si="1"/>
        <v>12</v>
      </c>
      <c r="G137" s="6" t="s">
        <v>292</v>
      </c>
      <c r="H137" s="7" t="str">
        <f>IFERROR(__xludf.DUMMYFUNCTION("AI(""Write a short product description under 300 characters for "" &amp; A137 &amp; "" in the "" &amp; B137 &amp; "" category"")"),"Enjoy the bold and tangy flavor of Real Potato Chips (American Tomato). Made from premium potatoes, these crispy chips are seasoned with a zesty tomato blend for a perfectly balanced sweet and savory crunch. A delicious snack for anytime cravings or shari"&amp;"ng with friends and family.")</f>
        <v>Enjoy the bold and tangy flavor of Real Potato Chips (American Tomato). Made from premium potatoes, these crispy chips are seasoned with a zesty tomato blend for a perfectly balanced sweet and savory crunch. A delicious snack for anytime cravings or sharing with friends and family.</v>
      </c>
    </row>
    <row r="138">
      <c r="A138" s="9" t="s">
        <v>293</v>
      </c>
      <c r="B138" s="9" t="s">
        <v>134</v>
      </c>
      <c r="C138" s="9">
        <v>14.16</v>
      </c>
      <c r="D138" s="9">
        <v>20.0</v>
      </c>
      <c r="E138" s="9">
        <v>24.0</v>
      </c>
      <c r="F138" s="3">
        <f t="shared" si="1"/>
        <v>12</v>
      </c>
      <c r="G138" s="6" t="s">
        <v>294</v>
      </c>
      <c r="H138" s="7" t="str">
        <f>IFERROR(__xludf.DUMMYFUNCTION("AI(""Write a short product description under 300 characters for "" &amp; A138 &amp; "" in the "" &amp; B138 &amp; "" category"")"),"Satisfy your cravings with our Chicken Sticks -1. These savory, crunchy snacks are packed with delicious chicken flavor, making them the perfect protein-rich treat for on-the-go snacking or sharing. Enjoy a satisfying crispness in every bite with this con"&amp;"venient snack favorite.")</f>
        <v>Satisfy your cravings with our Chicken Sticks -1. These savory, crunchy snacks are packed with delicious chicken flavor, making them the perfect protein-rich treat for on-the-go snacking or sharing. Enjoy a satisfying crispness in every bite with this convenient snack favorite.</v>
      </c>
    </row>
    <row r="139">
      <c r="A139" s="9" t="s">
        <v>295</v>
      </c>
      <c r="B139" s="9" t="s">
        <v>134</v>
      </c>
      <c r="C139" s="9">
        <v>6.66</v>
      </c>
      <c r="D139" s="9">
        <v>10.0</v>
      </c>
      <c r="E139" s="9">
        <v>24.0</v>
      </c>
      <c r="F139" s="3">
        <f t="shared" si="1"/>
        <v>12</v>
      </c>
      <c r="G139" s="6" t="s">
        <v>296</v>
      </c>
      <c r="H139" s="7" t="str">
        <f>IFERROR(__xludf.DUMMYFUNCTION("AI(""Write a short product description under 300 characters for "" &amp; A139 &amp; "" in the "" &amp; B139 &amp; "" category"")"),"Enjoy the classic, savory crunch of Nimki Small. These bite-sized, golden-fried snacks are perfectly seasoned for a satisfying treat. Ideal for tea time or on-the-go snacking, they offer a traditional taste in every crispy bite.")</f>
        <v>Enjoy the classic, savory crunch of Nimki Small. These bite-sized, golden-fried snacks are perfectly seasoned for a satisfying treat. Ideal for tea time or on-the-go snacking, they offer a traditional taste in every crispy bite.</v>
      </c>
    </row>
    <row r="140">
      <c r="A140" s="9" t="s">
        <v>297</v>
      </c>
      <c r="B140" s="9" t="s">
        <v>134</v>
      </c>
      <c r="C140" s="9">
        <v>45.0</v>
      </c>
      <c r="D140" s="9">
        <v>60.0</v>
      </c>
      <c r="E140" s="9">
        <v>6.0</v>
      </c>
      <c r="F140" s="3">
        <f t="shared" si="1"/>
        <v>3</v>
      </c>
      <c r="G140" s="6" t="s">
        <v>298</v>
      </c>
      <c r="H140" s="7" t="str">
        <f>IFERROR(__xludf.DUMMYFUNCTION("AI(""Write a short product description under 300 characters for "" &amp; A140 &amp; "" in the "" &amp; B140 &amp; "" category"")"),"Enjoy the classic, savory crunch of Nimki Big. These large, diamond-shaped flour crackers are seasoned with traditional spices and deep-fried to golden perfection. A perfect crispy snack to pair with your afternoon tea or enjoy on the go. Simple, deliciou"&amp;"s, and satisfyingly crunchy.")</f>
        <v>Enjoy the classic, savory crunch of Nimki Big. These large, diamond-shaped flour crackers are seasoned with traditional spices and deep-fried to golden perfection. A perfect crispy snack to pair with your afternoon tea or enjoy on the go. Simple, delicious, and satisfyingly crunchy.</v>
      </c>
    </row>
    <row r="141">
      <c r="A141" s="9" t="s">
        <v>299</v>
      </c>
      <c r="B141" s="9" t="s">
        <v>110</v>
      </c>
      <c r="C141" s="9">
        <v>8.5</v>
      </c>
      <c r="D141" s="9">
        <v>8.8</v>
      </c>
      <c r="E141" s="9">
        <v>210.0</v>
      </c>
      <c r="F141" s="3">
        <f t="shared" si="1"/>
        <v>105</v>
      </c>
      <c r="G141" s="6" t="s">
        <v>300</v>
      </c>
      <c r="H141" s="7" t="str">
        <f>IFERROR(__xludf.DUMMYFUNCTION("AI(""Write a short product description under 300 characters for "" &amp; A141 &amp; "" in the "" &amp; B141 &amp; "" category"")"),"Fresh and versatile, these premium red eggs are a nutritional powerhouse packed with high-quality protein and essential vitamins. Perfect for boiling, frying, or baking, they offer a rich taste and firm texture, making them an ideal staple for healthy bre"&amp;"akfasts and family meals.")</f>
        <v>Fresh and versatile, these premium red eggs are a nutritional powerhouse packed with high-quality protein and essential vitamins. Perfect for boiling, frying, or baking, they offer a rich taste and firm texture, making them an ideal staple for healthy breakfasts and family meals.</v>
      </c>
    </row>
    <row r="142">
      <c r="A142" s="9" t="s">
        <v>301</v>
      </c>
      <c r="B142" s="9" t="s">
        <v>110</v>
      </c>
      <c r="C142" s="9">
        <v>7.8</v>
      </c>
      <c r="D142" s="9">
        <v>8.8</v>
      </c>
      <c r="E142" s="9">
        <v>60.0</v>
      </c>
      <c r="F142" s="3">
        <f t="shared" si="1"/>
        <v>30</v>
      </c>
      <c r="G142" s="6" t="s">
        <v>302</v>
      </c>
      <c r="H142" s="7" t="str">
        <f>IFERROR(__xludf.DUMMYFUNCTION("AI(""Write a short product description under 300 characters for "" &amp; A142 &amp; "" in the "" &amp; B142 &amp; "" category"")"),"Fresh and versatile, these loose white egg whites are a high-protein, low-calorie choice for healthy cooking. Naturally fat and cholesterol-free, they are perfect for fluffy omelets, baking, or fitness-focused meals. Enjoy premium quality and essential nu"&amp;"trition in every serving.")</f>
        <v>Fresh and versatile, these loose white egg whites are a high-protein, low-calorie choice for healthy cooking. Naturally fat and cholesterol-free, they are perfect for fluffy omelets, baking, or fitness-focused meals. Enjoy premium quality and essential nutrition in every serving.</v>
      </c>
    </row>
    <row r="143">
      <c r="A143" s="9" t="s">
        <v>303</v>
      </c>
      <c r="B143" s="9" t="s">
        <v>304</v>
      </c>
      <c r="C143" s="9">
        <v>68.0</v>
      </c>
      <c r="D143" s="9">
        <v>80.0</v>
      </c>
      <c r="E143" s="9">
        <v>2.0</v>
      </c>
      <c r="F143" s="3">
        <f t="shared" si="1"/>
        <v>1</v>
      </c>
      <c r="G143" s="6" t="s">
        <v>305</v>
      </c>
      <c r="H143" s="7" t="str">
        <f>IFERROR(__xludf.DUMMYFUNCTION("AI(""Write a short product description under 300 characters for "" &amp; A143 &amp; "" in the "" &amp; B143 &amp; "" category"")"),"Recreate the traditional barbecue experience at home with Radhuni BBQ Masala. This 50g blend of premium spices adds a rich, smoky aroma and savory flavor to grilled meats and vegetables. Perfect for marinating or seasoning, it ensures a delicious, authent"&amp;"ic BBQ taste every time.")</f>
        <v>Recreate the traditional barbecue experience at home with Radhuni BBQ Masala. This 50g blend of premium spices adds a rich, smoky aroma and savory flavor to grilled meats and vegetables. Perfect for marinating or seasoning, it ensures a delicious, authentic BBQ taste every time.</v>
      </c>
    </row>
    <row r="144">
      <c r="A144" s="9" t="s">
        <v>306</v>
      </c>
      <c r="B144" s="9" t="s">
        <v>304</v>
      </c>
      <c r="C144" s="9">
        <v>50.0</v>
      </c>
      <c r="D144" s="9">
        <v>58.0</v>
      </c>
      <c r="E144" s="9">
        <v>5.0</v>
      </c>
      <c r="F144" s="3">
        <f t="shared" si="1"/>
        <v>2.5</v>
      </c>
      <c r="G144" s="6" t="s">
        <v>307</v>
      </c>
      <c r="H144" s="7" t="str">
        <f>IFERROR(__xludf.DUMMYFUNCTION("AI(""Write a short product description under 300 characters for "" &amp; A144 &amp; "" in the "" &amp; B144 &amp; "" category"")"),"Radhuni Biriyani Masala 40gm offers an authentic blend of aromatic spices to create restaurant-style biryani at home. This premium mix ensures a perfect balance of flavor and fragrance for chicken, beef, or mutton dishes. Simply add to your recipe for a r"&amp;"ich, traditional South Asian taste.")</f>
        <v>Radhuni Biriyani Masala 40gm offers an authentic blend of aromatic spices to create restaurant-style biryani at home. This premium mix ensures a perfect balance of flavor and fragrance for chicken, beef, or mutton dishes. Simply add to your recipe for a rich, traditional South Asian taste.</v>
      </c>
    </row>
    <row r="145">
      <c r="A145" s="9" t="s">
        <v>308</v>
      </c>
      <c r="B145" s="9" t="s">
        <v>304</v>
      </c>
      <c r="C145" s="9">
        <v>33.0</v>
      </c>
      <c r="D145" s="9" t="e">
        <v>#REF!</v>
      </c>
      <c r="E145" s="9">
        <v>1.0</v>
      </c>
      <c r="F145" s="3">
        <f t="shared" si="1"/>
        <v>0.5</v>
      </c>
      <c r="G145" s="6" t="s">
        <v>309</v>
      </c>
      <c r="H145" s="7" t="str">
        <f>IFERROR(__xludf.DUMMYFUNCTION("AI(""Write a short product description under 300 characters for "" &amp; A145 &amp; "" in the "" &amp; B145 &amp; "" category"")"),"Radhuni Borhani Masala 50g is a premium blend of aromatic spices like cumin and black pepper, crafted for the authentic Bangladeshi yogurt drink. This convenient mix ensures a tangy, savory, and refreshing taste, perfect for aiding digestion and enhancing"&amp;" any special occasion or festive meal.")</f>
        <v>Radhuni Borhani Masala 50g is a premium blend of aromatic spices like cumin and black pepper, crafted for the authentic Bangladeshi yogurt drink. This convenient mix ensures a tangy, savory, and refreshing taste, perfect for aiding digestion and enhancing any special occasion or festive meal.</v>
      </c>
    </row>
    <row r="146">
      <c r="A146" s="9" t="s">
        <v>310</v>
      </c>
      <c r="B146" s="9" t="s">
        <v>304</v>
      </c>
      <c r="C146" s="9">
        <v>68.0</v>
      </c>
      <c r="D146" s="9">
        <v>80.0</v>
      </c>
      <c r="E146" s="9">
        <v>3.0</v>
      </c>
      <c r="F146" s="3">
        <f t="shared" si="1"/>
        <v>1.5</v>
      </c>
      <c r="G146" s="6" t="s">
        <v>311</v>
      </c>
      <c r="H146" s="7" t="str">
        <f>IFERROR(__xludf.DUMMYFUNCTION("AI(""Write a short product description under 300 characters for "" &amp; A146 &amp; "" in the "" &amp; B146 &amp; "" category"")"),"Radhuni Chicken Tandoori Masala brings authentic flavors to your kitchen. This premium 50g spice blend combines aromatic herbs for a signature tandoori taste. Perfect for marinating, it ensures restaurant-quality grilled or baked chicken at home with easy"&amp;" step-by-step instructions.")</f>
        <v>Radhuni Chicken Tandoori Masala brings authentic flavors to your kitchen. This premium 50g spice blend combines aromatic herbs for a signature tandoori taste. Perfect for marinating, it ensures restaurant-quality grilled or baked chicken at home with easy step-by-step instructions.</v>
      </c>
    </row>
    <row r="147">
      <c r="A147" s="9" t="s">
        <v>312</v>
      </c>
      <c r="B147" s="9" t="s">
        <v>304</v>
      </c>
      <c r="C147" s="9">
        <v>41.0</v>
      </c>
      <c r="D147" s="9">
        <v>50.0</v>
      </c>
      <c r="E147" s="9">
        <v>5.0</v>
      </c>
      <c r="F147" s="3">
        <f t="shared" si="1"/>
        <v>2.5</v>
      </c>
      <c r="G147" s="6" t="s">
        <v>313</v>
      </c>
      <c r="H147" s="7" t="str">
        <f>IFERROR(__xludf.DUMMYFUNCTION("AI(""Write a short product description under 300 characters for "" &amp; A147 &amp; "" in the "" &amp; B147 &amp; "" category"")"),"Radhuni Chotpoti Masala 50gm is a flavorful spice blend crafted to recreate authentic Bangladeshi street-style chotpoti at home. This aromatic mix offers the perfect balance of tangy, spicy, and savory notes, making it easy to prepare delicious, healthy s"&amp;"nacks in minutes.")</f>
        <v>Radhuni Chotpoti Masala 50gm is a flavorful spice blend crafted to recreate authentic Bangladeshi street-style chotpoti at home. This aromatic mix offers the perfect balance of tangy, spicy, and savory notes, making it easy to prepare delicious, healthy snacks in minutes.</v>
      </c>
    </row>
    <row r="148">
      <c r="A148" s="9" t="s">
        <v>314</v>
      </c>
      <c r="B148" s="9" t="s">
        <v>304</v>
      </c>
      <c r="C148" s="9">
        <v>102.0</v>
      </c>
      <c r="D148" s="9">
        <v>115.0</v>
      </c>
      <c r="E148" s="9">
        <v>2.0</v>
      </c>
      <c r="F148" s="3">
        <f t="shared" si="1"/>
        <v>1</v>
      </c>
      <c r="G148" s="6" t="s">
        <v>315</v>
      </c>
      <c r="H148" s="7" t="str">
        <f>IFERROR(__xludf.DUMMYFUNCTION("AI(""Write a short product description under 300 characters for "" &amp; A148 &amp; "" in the "" &amp; B148 &amp; "" category"")"),"The language entered is not supported at this time.")</f>
        <v>The language entered is not supported at this time.</v>
      </c>
    </row>
    <row r="149">
      <c r="A149" s="9" t="s">
        <v>316</v>
      </c>
      <c r="B149" s="9" t="s">
        <v>304</v>
      </c>
      <c r="C149" s="9">
        <v>210.0</v>
      </c>
      <c r="D149" s="9">
        <v>240.0</v>
      </c>
      <c r="E149" s="9">
        <v>3.0</v>
      </c>
      <c r="F149" s="3">
        <f t="shared" si="1"/>
        <v>1.5</v>
      </c>
      <c r="G149" s="6" t="s">
        <v>317</v>
      </c>
      <c r="H149" s="7" t="str">
        <f>IFERROR(__xludf.DUMMYFUNCTION("AI(""Write a short product description under 300 characters for "" &amp; A149 &amp; "" in the "" &amp; B149 &amp; "" category"")"),"Radhuni Dhoniya Gura 500gm offers a warm, citrusy, and earthy aroma to your culinary creations. Made from finely ground, premium-quality coriander seeds, this essential spice enhances the flavor of curries, soups, and marinades with authentic taste and fr"&amp;"eshness in every bite.")</f>
        <v>Radhuni Dhoniya Gura 500gm offers a warm, citrusy, and earthy aroma to your culinary creations. Made from finely ground, premium-quality coriander seeds, this essential spice enhances the flavor of curries, soups, and marinades with authentic taste and freshness in every bite.</v>
      </c>
    </row>
    <row r="150">
      <c r="A150" s="9" t="s">
        <v>318</v>
      </c>
      <c r="B150" s="9" t="s">
        <v>304</v>
      </c>
      <c r="C150" s="9">
        <v>95.0</v>
      </c>
      <c r="D150" s="9">
        <v>105.0</v>
      </c>
      <c r="E150" s="9">
        <v>6.0</v>
      </c>
      <c r="F150" s="3">
        <f t="shared" si="1"/>
        <v>3</v>
      </c>
      <c r="G150" s="6" t="s">
        <v>319</v>
      </c>
      <c r="H150" s="7" t="str">
        <f>IFERROR(__xludf.DUMMYFUNCTION("AI(""Write a short product description under 300 characters for "" &amp; A150 &amp; "" in the "" &amp; B150 &amp; "" category"")"),"Elevate your cooking with Radhuni Coriander (Dhoniya) Powder. Made from premium-quality seeds, this 200g pack offers a warm, earthy, and citrusy aroma. It is an essential spice for enhancing the flavor of curries, stews, and marinades with an authentic Ba"&amp;"ngladeshi taste.")</f>
        <v>Elevate your cooking with Radhuni Coriander (Dhoniya) Powder. Made from premium-quality seeds, this 200g pack offers a warm, earthy, and citrusy aroma. It is an essential spice for enhancing the flavor of curries, stews, and marinades with an authentic Bangladeshi taste.</v>
      </c>
    </row>
    <row r="151">
      <c r="A151" s="9" t="s">
        <v>320</v>
      </c>
      <c r="B151" s="9" t="s">
        <v>304</v>
      </c>
      <c r="C151" s="9">
        <v>51.5</v>
      </c>
      <c r="D151" s="9">
        <v>60.0</v>
      </c>
      <c r="E151" s="9">
        <v>12.0</v>
      </c>
      <c r="F151" s="3">
        <f t="shared" si="1"/>
        <v>6</v>
      </c>
      <c r="G151" s="6" t="s">
        <v>321</v>
      </c>
      <c r="H151" s="7" t="str">
        <f>IFERROR(__xludf.DUMMYFUNCTION("AI(""Write a short product description under 300 characters for "" &amp; A151 &amp; "" in the "" &amp; B151 &amp; "" category"")"),"Radhuni Dhoniya Gura 100gm is a premium-quality coriander powder made from freshly ground seeds. This essential spice adds a mild, citrusy, and nutty flavor to curries, lentils, and marinades. Rich in antioxidants, it ensures an authentic taste and aroma "&amp;"for all your culinary creations.")</f>
        <v>Radhuni Dhoniya Gura 100gm is a premium-quality coriander powder made from freshly ground seeds. This essential spice adds a mild, citrusy, and nutty flavor to curries, lentils, and marinades. Rich in antioxidants, it ensures an authentic taste and aroma for all your culinary creations.</v>
      </c>
    </row>
    <row r="152">
      <c r="A152" s="9" t="s">
        <v>322</v>
      </c>
      <c r="B152" s="9" t="s">
        <v>304</v>
      </c>
      <c r="C152" s="9">
        <v>27.5</v>
      </c>
      <c r="D152" s="9">
        <v>32.0</v>
      </c>
      <c r="E152" s="9">
        <v>12.0</v>
      </c>
      <c r="F152" s="3">
        <f t="shared" si="1"/>
        <v>6</v>
      </c>
      <c r="G152" s="6" t="s">
        <v>323</v>
      </c>
      <c r="H152" s="7" t="str">
        <f>IFERROR(__xludf.DUMMYFUNCTION("AI(""Write a short product description under 300 characters for "" &amp; A152 &amp; "" in the "" &amp; B152 &amp; "" category"")"),"Enhance your culinary creations with Radhuni Coriander (Dhoniya) Powder. Made from premium-quality seeds, this 50g pack delivers a warm, citrusy, and earthy aroma. It is a versatile spice essential for adding authentic flavor to curries, soups, and marina"&amp;"des.")</f>
        <v>Enhance your culinary creations with Radhuni Coriander (Dhoniya) Powder. Made from premium-quality seeds, this 50g pack delivers a warm, citrusy, and earthy aroma. It is a versatile spice essential for adding authentic flavor to curries, soups, and marinades.</v>
      </c>
    </row>
    <row r="153">
      <c r="A153" s="9" t="s">
        <v>324</v>
      </c>
      <c r="B153" s="9" t="s">
        <v>304</v>
      </c>
      <c r="C153" s="9">
        <v>8.75</v>
      </c>
      <c r="D153" s="9">
        <v>10.0</v>
      </c>
      <c r="E153" s="9">
        <v>12.0</v>
      </c>
      <c r="F153" s="3">
        <f t="shared" si="1"/>
        <v>6</v>
      </c>
      <c r="G153" s="6" t="s">
        <v>325</v>
      </c>
      <c r="H153" s="7" t="str">
        <f>IFERROR(__xludf.DUMMYFUNCTION("AI(""Write a short product description under 300 characters for "" &amp; A153 &amp; "" in the "" &amp; B153 &amp; "" category"")"),"Radhuni Coriander (Dhoniya) Powder 15g offers a warm, citrusy, and earthy aroma to your culinary creations. Made from finely ground, premium-quality coriander seeds, this essential spice enhances the flavor of curries, soups, and marinades with authentic "&amp;"taste and freshness.")</f>
        <v>Radhuni Coriander (Dhoniya) Powder 15g offers a warm, citrusy, and earthy aroma to your culinary creations. Made from finely ground, premium-quality coriander seeds, this essential spice enhances the flavor of curries, soups, and marinades with authentic taste and freshness.</v>
      </c>
    </row>
    <row r="154">
      <c r="A154" s="9" t="s">
        <v>326</v>
      </c>
      <c r="B154" s="9" t="s">
        <v>304</v>
      </c>
      <c r="C154" s="9">
        <v>69.0</v>
      </c>
      <c r="D154" s="9">
        <v>80.0</v>
      </c>
      <c r="E154" s="9">
        <v>3.0</v>
      </c>
      <c r="F154" s="3">
        <f t="shared" si="1"/>
        <v>1.5</v>
      </c>
      <c r="G154" s="6" t="s">
        <v>327</v>
      </c>
      <c r="H154" s="7" t="str">
        <f>IFERROR(__xludf.DUMMYFUNCTION("AI(""Write a short product description under 300 characters for "" &amp; A154 &amp; "" in the "" &amp; B154 &amp; "" category"")"),"Achieve restaurant-style crispy fried chicken at home with Radhuni Fried Chicken Mix. This premium 75g spice blend ensures a perfectly seasoned, crunchy exterior and tender, juicy meat. Ideal for quick family meals, it delivers an authentic, flavorful tas"&amp;"te with every bite.")</f>
        <v>Achieve restaurant-style crispy fried chicken at home with Radhuni Fried Chicken Mix. This premium 75g spice blend ensures a perfectly seasoned, crunchy exterior and tender, juicy meat. Ideal for quick family meals, it delivers an authentic, flavorful taste with every bite.</v>
      </c>
    </row>
    <row r="155">
      <c r="A155" s="9" t="s">
        <v>328</v>
      </c>
      <c r="B155" s="9" t="s">
        <v>304</v>
      </c>
      <c r="C155" s="9">
        <v>8.7</v>
      </c>
      <c r="D155" s="9">
        <v>10.0</v>
      </c>
      <c r="E155" s="9">
        <v>13.0</v>
      </c>
      <c r="F155" s="3">
        <f t="shared" si="1"/>
        <v>6.5</v>
      </c>
      <c r="G155" s="6" t="s">
        <v>329</v>
      </c>
      <c r="H155" s="7" t="str">
        <f>IFERROR(__xludf.DUMMYFUNCTION("AI(""Write a short product description under 300 characters for "" &amp; A155 &amp; "" in the "" &amp; B155 &amp; "" category"")"),"Elevate your home cooking with Radhuni Fried Rice Seasoning Mix. This 8g pack delivers authentic restaurant-style aroma and a unique shallot flavor with no added MSG. Perfect for a quick, delicious, and healthy oriental meal with minimal effort.")</f>
        <v>Elevate your home cooking with Radhuni Fried Rice Seasoning Mix. This 8g pack delivers authentic restaurant-style aroma and a unique shallot flavor with no added MSG. Perfect for a quick, delicious, and healthy oriental meal with minimal effort.</v>
      </c>
    </row>
    <row r="156">
      <c r="A156" s="9" t="s">
        <v>330</v>
      </c>
      <c r="B156" s="9" t="s">
        <v>304</v>
      </c>
      <c r="C156" s="9">
        <v>83.0</v>
      </c>
      <c r="D156" s="9">
        <v>90.0</v>
      </c>
      <c r="E156" s="9">
        <v>24.0</v>
      </c>
      <c r="F156" s="3">
        <f t="shared" si="1"/>
        <v>12</v>
      </c>
      <c r="G156" s="6" t="s">
        <v>331</v>
      </c>
      <c r="H156" s="7" t="str">
        <f>IFERROR(__xludf.DUMMYFUNCTION("AI(""Write a short product description under 300 characters for "" &amp; A156 &amp; "" in the "" &amp; B156 &amp; "" category"")"),"Radhuni Gorom Masala 40gm is a premium blend of aromatic spices including cinnamon, cardamom, cloves, and nutmeg. Perfect for meat, fish, and curries, this essential spice mix adds a warm, robust flavor and traditional aroma to your everyday cooking. Esse"&amp;"ntial for authentic Bangladeshi dishes.")</f>
        <v>Radhuni Gorom Masala 40gm is a premium blend of aromatic spices including cinnamon, cardamom, cloves, and nutmeg. Perfect for meat, fish, and curries, this essential spice mix adds a warm, robust flavor and traditional aroma to your everyday cooking. Essential for authentic Bangladeshi dishes.</v>
      </c>
    </row>
    <row r="157">
      <c r="A157" s="9" t="s">
        <v>332</v>
      </c>
      <c r="B157" s="9" t="s">
        <v>304</v>
      </c>
      <c r="C157" s="9">
        <v>34.5</v>
      </c>
      <c r="D157" s="9">
        <v>40.0</v>
      </c>
      <c r="E157" s="9">
        <v>12.0</v>
      </c>
      <c r="F157" s="3">
        <f t="shared" si="1"/>
        <v>6</v>
      </c>
      <c r="G157" s="6" t="s">
        <v>333</v>
      </c>
      <c r="H157" s="7" t="str">
        <f>IFERROR(__xludf.DUMMYFUNCTION("AI(""Write a short product description under 300 characters for "" &amp; A157 &amp; "" in the "" &amp; B157 &amp; "" category"")"),"Radhuni Gorom Masala Gura is a premium blend of cinnamon, cardamom, cloves, bay leaf, nutmeg, mace, and black pepper. This 15g pack adds a warm, authentic aroma and rich flavor to meat, fish, and traditional curry dishes, ensuring a restaurant-quality tas"&amp;"te in your home-cooked meals.")</f>
        <v>Radhuni Gorom Masala Gura is a premium blend of cinnamon, cardamom, cloves, bay leaf, nutmeg, mace, and black pepper. This 15g pack adds a warm, authentic aroma and rich flavor to meat, fish, and traditional curry dishes, ensuring a restaurant-quality taste in your home-cooked meals.</v>
      </c>
    </row>
    <row r="158">
      <c r="A158" s="9" t="s">
        <v>334</v>
      </c>
      <c r="B158" s="9" t="s">
        <v>304</v>
      </c>
      <c r="C158" s="9">
        <v>79.0</v>
      </c>
      <c r="D158" s="9">
        <v>90.0</v>
      </c>
      <c r="E158" s="9">
        <v>3.0</v>
      </c>
      <c r="F158" s="3">
        <f t="shared" si="1"/>
        <v>1.5</v>
      </c>
      <c r="G158" s="6" t="s">
        <v>335</v>
      </c>
      <c r="H158" s="7" t="str">
        <f>IFERROR(__xludf.DUMMYFUNCTION("AI(""Write a short product description under 300 characters for "" &amp; A158 &amp; "" in the "" &amp; B158 &amp; "" category"")"),"Radhuni Gorur Mangsho Masala is a premium 100g spice blend specifically crafted for authentic beef curry. Featuring a perfect mix of turmeric, chili, coriander, and aromatics, it delivers a rich, traditional Bangladeshi flavor and deep aroma to your home-"&amp;"cooked meat dishes.")</f>
        <v>Radhuni Gorur Mangsho Masala is a premium 100g spice blend specifically crafted for authentic beef curry. Featuring a perfect mix of turmeric, chili, coriander, and aromatics, it delivers a rich, traditional Bangladeshi flavor and deep aroma to your home-cooked meat dishes.</v>
      </c>
    </row>
    <row r="159">
      <c r="A159" s="9" t="s">
        <v>336</v>
      </c>
      <c r="B159" s="9" t="s">
        <v>304</v>
      </c>
      <c r="C159" s="9">
        <v>21.0</v>
      </c>
      <c r="D159" s="9">
        <v>22.0</v>
      </c>
      <c r="E159" s="9">
        <v>13.0</v>
      </c>
      <c r="F159" s="3">
        <f t="shared" si="1"/>
        <v>6.5</v>
      </c>
      <c r="G159" s="6" t="s">
        <v>337</v>
      </c>
      <c r="H159" s="7" t="str">
        <f>IFERROR(__xludf.DUMMYFUNCTION("AI(""Write a short product description under 300 characters for "" &amp; A159 &amp; "" in the "" &amp; B159 &amp; "" category"")"),"Spice up your beef dishes effortlessly with Radhuni Beef Masala. This 25g convenient pack features an authentic blend of traditional spices, providing a rich aroma and deep flavor to your curry. Perfect for preparing 1kg of beef, it ensures a delicious an"&amp;"d hassle-free cooking experience.")</f>
        <v>Spice up your beef dishes effortlessly with Radhuni Beef Masala. This 25g convenient pack features an authentic blend of traditional spices, providing a rich aroma and deep flavor to your curry. Perfect for preparing 1kg of beef, it ensures a delicious and hassle-free cooking experience.</v>
      </c>
    </row>
    <row r="160">
      <c r="A160" s="9" t="s">
        <v>338</v>
      </c>
      <c r="B160" s="9" t="s">
        <v>304</v>
      </c>
      <c r="C160" s="9">
        <v>50.0</v>
      </c>
      <c r="D160" s="9">
        <v>60.0</v>
      </c>
      <c r="E160" s="9">
        <v>2.0</v>
      </c>
      <c r="F160" s="3">
        <f t="shared" si="1"/>
        <v>1</v>
      </c>
      <c r="G160" s="6" t="s">
        <v>339</v>
      </c>
      <c r="H160" s="7" t="str">
        <f>IFERROR(__xludf.DUMMYFUNCTION("AI(""Write a short product description under 300 characters for "" &amp; A160 &amp; "" in the "" &amp; B160 &amp; "" category"")"),"Radhuni Hasher Mangsho Masala 33g is a premium spice blend crafted for authentic Bangladeshi duck curry. It combines aromatic herbs and select spices to deliver traditional flavor, warmth, and richness, ensuring a perfect restaurant-style finish at home f"&amp;"or festive winter meals.")</f>
        <v>Radhuni Hasher Mangsho Masala 33g is a premium spice blend crafted for authentic Bangladeshi duck curry. It combines aromatic herbs and select spices to deliver traditional flavor, warmth, and richness, ensuring a perfect restaurant-style finish at home for festive winter meals.</v>
      </c>
    </row>
    <row r="161">
      <c r="A161" s="9" t="s">
        <v>340</v>
      </c>
      <c r="B161" s="9" t="s">
        <v>304</v>
      </c>
      <c r="C161" s="9">
        <v>291.0</v>
      </c>
      <c r="D161" s="9">
        <v>320.0</v>
      </c>
      <c r="E161" s="9">
        <v>3.0</v>
      </c>
      <c r="F161" s="3">
        <f t="shared" si="1"/>
        <v>1.5</v>
      </c>
      <c r="G161" s="6" t="s">
        <v>341</v>
      </c>
      <c r="H161" s="7" t="str">
        <f>IFERROR(__xludf.DUMMYFUNCTION("AI(""Write a short product description under 300 characters for "" &amp; A161 &amp; "" in the "" &amp; B161 &amp; "" category"")"),"Radhuni Holud Gura (Turmeric Powder) 500gm is a premium-quality spice that adds a vibrant golden color and earthy aroma to your dishes. Made from finely selected turmeric roots, it is rich in curcumin and perfect for authentic curries, marinades, and heal"&amp;"th-boosting beverages.")</f>
        <v>Radhuni Holud Gura (Turmeric Powder) 500gm is a premium-quality spice that adds a vibrant golden color and earthy aroma to your dishes. Made from finely selected turmeric roots, it is rich in curcumin and perfect for authentic curries, marinades, and health-boosting beverages.</v>
      </c>
    </row>
    <row r="162">
      <c r="A162" s="9" t="s">
        <v>342</v>
      </c>
      <c r="B162" s="9" t="s">
        <v>304</v>
      </c>
      <c r="C162" s="9">
        <v>126.0</v>
      </c>
      <c r="D162" s="9">
        <v>140.0</v>
      </c>
      <c r="E162" s="9">
        <v>6.0</v>
      </c>
      <c r="F162" s="3">
        <f t="shared" si="1"/>
        <v>3</v>
      </c>
      <c r="G162" s="6" t="s">
        <v>343</v>
      </c>
      <c r="H162" s="7" t="str">
        <f>IFERROR(__xludf.DUMMYFUNCTION("AI(""Write a short product description under 300 characters for "" &amp; A162 &amp; "" in the "" &amp; B162 &amp; "" category"")"),"Radhuni Holud Gura 200gm is a premium-quality turmeric powder made from carefully selected roots. It ensures a vibrant golden color and rich aroma for your dishes. Naturally high in curcumin, this 100% pure spice is essential for authentic flavor and heal"&amp;"th-boosting antioxidants.")</f>
        <v>Radhuni Holud Gura 200gm is a premium-quality turmeric powder made from carefully selected roots. It ensures a vibrant golden color and rich aroma for your dishes. Naturally high in curcumin, this 100% pure spice is essential for authentic flavor and health-boosting antioxidants.</v>
      </c>
    </row>
    <row r="163">
      <c r="A163" s="9" t="s">
        <v>344</v>
      </c>
      <c r="B163" s="9" t="s">
        <v>304</v>
      </c>
      <c r="C163" s="9">
        <v>65.0</v>
      </c>
      <c r="D163" s="9">
        <v>72.0</v>
      </c>
      <c r="E163" s="9">
        <v>13.0</v>
      </c>
      <c r="F163" s="3">
        <f t="shared" si="1"/>
        <v>6.5</v>
      </c>
      <c r="G163" s="6" t="s">
        <v>345</v>
      </c>
      <c r="H163" s="7" t="str">
        <f>IFERROR(__xludf.DUMMYFUNCTION("AI(""Write a short product description under 300 characters for "" &amp; A163 &amp; "" in the "" &amp; B163 &amp; "" category"")"),"Radhuni Holud Gura (Turmeric Powder) 100gm is a premium-quality spice made from finely selected turmeric roots. It adds a vibrant golden color, earthy aroma, and rich flavor to your curries and stews while providing natural antioxidant benefits. A kitchen"&amp;" essential for authentic cooking.")</f>
        <v>Radhuni Holud Gura (Turmeric Powder) 100gm is a premium-quality spice made from finely selected turmeric roots. It adds a vibrant golden color, earthy aroma, and rich flavor to your curries and stews while providing natural antioxidant benefits. A kitchen essential for authentic cooking.</v>
      </c>
    </row>
    <row r="164">
      <c r="A164" s="9" t="s">
        <v>346</v>
      </c>
      <c r="B164" s="9" t="s">
        <v>304</v>
      </c>
      <c r="C164" s="9">
        <v>34.5</v>
      </c>
      <c r="D164" s="9" t="e">
        <v>#REF!</v>
      </c>
      <c r="E164" s="9">
        <v>13.0</v>
      </c>
      <c r="F164" s="3">
        <f t="shared" si="1"/>
        <v>6.5</v>
      </c>
      <c r="G164" s="6" t="s">
        <v>347</v>
      </c>
      <c r="H164" s="7" t="str">
        <f>IFERROR(__xludf.DUMMYFUNCTION("AI(""Write a short product description under 300 characters for "" &amp; A164 &amp; "" in the "" &amp; B164 &amp; "" category"")"),"Radhuni Holud Gura 50gm is a premium-quality turmeric powder made from finely selected roots. Known for its rich golden color and distinctive aroma, it enhances the flavor and appearance of curries, lentils, and marinades while offering natural health ben"&amp;"efits.")</f>
        <v>Radhuni Holud Gura 50gm is a premium-quality turmeric powder made from finely selected roots. Known for its rich golden color and distinctive aroma, it enhances the flavor and appearance of curries, lentils, and marinades while offering natural health benefits.</v>
      </c>
    </row>
    <row r="165">
      <c r="A165" s="9" t="s">
        <v>348</v>
      </c>
      <c r="B165" s="9" t="s">
        <v>304</v>
      </c>
      <c r="C165" s="9">
        <v>17.25</v>
      </c>
      <c r="D165" s="9">
        <v>20.0</v>
      </c>
      <c r="E165" s="9">
        <v>12.0</v>
      </c>
      <c r="F165" s="3">
        <f t="shared" si="1"/>
        <v>6</v>
      </c>
      <c r="G165" s="6" t="s">
        <v>349</v>
      </c>
      <c r="H165" s="7" t="str">
        <f>IFERROR(__xludf.DUMMYFUNCTION("AI(""Write a short product description under 300 characters for "" &amp; A165 &amp; "" in the "" &amp; B165 &amp; "" category"")"),"Radhuni Holud Gura 25gm is a premium turmeric powder made from carefully selected roots. It adds a vibrant golden color and earthy aroma to your curries, marinades, and stews. This essential kitchen staple ensures authentic flavor and natural health benef"&amp;"its in every meal.")</f>
        <v>Radhuni Holud Gura 25gm is a premium turmeric powder made from carefully selected roots. It adds a vibrant golden color and earthy aroma to your curries, marinades, and stews. This essential kitchen staple ensures authentic flavor and natural health benefits in every meal.</v>
      </c>
    </row>
    <row r="166">
      <c r="A166" s="9" t="s">
        <v>350</v>
      </c>
      <c r="B166" s="9" t="s">
        <v>304</v>
      </c>
      <c r="C166" s="9">
        <v>270.0</v>
      </c>
      <c r="D166" s="9">
        <v>310.0</v>
      </c>
      <c r="E166" s="9">
        <v>6.0</v>
      </c>
      <c r="F166" s="3">
        <f t="shared" si="1"/>
        <v>3</v>
      </c>
      <c r="G166" s="6" t="s">
        <v>351</v>
      </c>
      <c r="H166" s="7" t="str">
        <f>IFERROR(__xludf.DUMMYFUNCTION("AI(""Write a short product description under 300 characters for "" &amp; A166 &amp; "" in the "" &amp; B166 &amp; "" category"")"),"Enhance your dishes with Radhuni Jira Gura. Made from high-quality cumin seeds, this 200g pack provides a warm, earthy flavor and rich aroma. It is a versatile spice perfect for curries, soups, and rice, while also offering digestive and antioxidant benef"&amp;"its.")</f>
        <v>Enhance your dishes with Radhuni Jira Gura. Made from high-quality cumin seeds, this 200g pack provides a warm, earthy flavor and rich aroma. It is a versatile spice perfect for curries, soups, and rice, while also offering digestive and antioxidant benefits.</v>
      </c>
    </row>
    <row r="167">
      <c r="A167" s="9" t="s">
        <v>352</v>
      </c>
      <c r="B167" s="9" t="s">
        <v>304</v>
      </c>
      <c r="C167" s="9">
        <v>142.0</v>
      </c>
      <c r="D167" s="9">
        <v>160.0</v>
      </c>
      <c r="E167" s="9">
        <v>12.0</v>
      </c>
      <c r="F167" s="3">
        <f t="shared" si="1"/>
        <v>6</v>
      </c>
      <c r="G167" s="6" t="s">
        <v>353</v>
      </c>
      <c r="H167" s="7" t="str">
        <f>IFERROR(__xludf.DUMMYFUNCTION("AI(""Write a short product description under 300 characters for "" &amp; A167 &amp; "" in the "" &amp; B167 &amp; "" category"")"),"Enhance your dishes with Radhuni Cumin Powder (Jira Gura) 100g. Made from high-quality cumin seeds, this finely ground spice offers a warm, earthy aroma and authentic flavor. Perfect for curries, stews, and traditional Bangladeshi cuisine, it adds depth a"&amp;"nd complexity to every meal.")</f>
        <v>Enhance your dishes with Radhuni Cumin Powder (Jira Gura) 100g. Made from high-quality cumin seeds, this finely ground spice offers a warm, earthy aroma and authentic flavor. Perfect for curries, stews, and traditional Bangladeshi cuisine, it adds depth and complexity to every meal.</v>
      </c>
    </row>
    <row r="168">
      <c r="A168" s="9" t="s">
        <v>354</v>
      </c>
      <c r="B168" s="9" t="s">
        <v>304</v>
      </c>
      <c r="C168" s="9">
        <v>75.0</v>
      </c>
      <c r="D168" s="9">
        <v>85.0</v>
      </c>
      <c r="E168" s="9">
        <v>12.0</v>
      </c>
      <c r="F168" s="3">
        <f t="shared" si="1"/>
        <v>6</v>
      </c>
      <c r="G168" s="6" t="s">
        <v>355</v>
      </c>
      <c r="H168" s="7" t="str">
        <f>IFERROR(__xludf.DUMMYFUNCTION("AI(""Write a short product description under 300 characters for "" &amp; A168 &amp; "" in the "" &amp; B168 &amp; "" category"")"),"Enhance your dishes with Radhuni Cumin Powder (Jira Gura). Made from premium-grade cumin seeds, this 50g pack offers a warm, earthy aroma and rich flavor. It is a versatile kitchen essential perfect for authentic Bangladeshi curries, lentils, and stews.")</f>
        <v>Enhance your dishes with Radhuni Cumin Powder (Jira Gura). Made from premium-grade cumin seeds, this 50g pack offers a warm, earthy aroma and rich flavor. It is a versatile kitchen essential perfect for authentic Bangladeshi curries, lentils, and stews.</v>
      </c>
    </row>
    <row r="169">
      <c r="A169" s="9" t="s">
        <v>356</v>
      </c>
      <c r="B169" s="9" t="s">
        <v>304</v>
      </c>
      <c r="C169" s="9">
        <v>24.25</v>
      </c>
      <c r="D169" s="9">
        <v>28.0</v>
      </c>
      <c r="E169" s="9">
        <v>12.0</v>
      </c>
      <c r="F169" s="3">
        <f t="shared" si="1"/>
        <v>6</v>
      </c>
      <c r="G169" s="6" t="s">
        <v>357</v>
      </c>
      <c r="H169" s="7" t="str">
        <f>IFERROR(__xludf.DUMMYFUNCTION("AI(""Write a short product description under 300 characters for "" &amp; A169 &amp; "" in the "" &amp; B169 &amp; "" category"")"),"Radhuni Jira Gura 15gm is prepared from selected high-grade cumin seeds to ensure a fresh aroma and authentic earthy flavor. This finely ground spice enhances the taste of curries and stews while aiding digestion, making it a perfect, convenient staple fo"&amp;"r everyday traditional cooking.")</f>
        <v>Radhuni Jira Gura 15gm is prepared from selected high-grade cumin seeds to ensure a fresh aroma and authentic earthy flavor. This finely ground spice enhances the taste of curries and stews while aiding digestion, making it a perfect, convenient staple for everyday traditional cooking.</v>
      </c>
    </row>
    <row r="170">
      <c r="A170" s="9" t="s">
        <v>358</v>
      </c>
      <c r="B170" s="9" t="s">
        <v>304</v>
      </c>
      <c r="C170" s="9">
        <v>84.0</v>
      </c>
      <c r="D170" s="9">
        <v>98.0</v>
      </c>
      <c r="E170" s="9">
        <v>3.0</v>
      </c>
      <c r="F170" s="3">
        <f t="shared" si="1"/>
        <v>1.5</v>
      </c>
      <c r="G170" s="6" t="s">
        <v>359</v>
      </c>
      <c r="H170" s="7" t="str">
        <f>IFERROR(__xludf.DUMMYFUNCTION("AI(""Write a short product description under 300 characters for "" &amp; A170 &amp; "" in the "" &amp; B170 &amp; "" category"")"),"Elevate your homemade kababs with Radhuni Kabab Masala. This premium 50g blend of aromatic spices like cardamom, cinnamon, and nutmeg ensures authentic flavor and professional results for chicken or beef kababs. Simply marinate and enjoy a tantalizing tas"&amp;"te in every bite.")</f>
        <v>Elevate your homemade kababs with Radhuni Kabab Masala. This premium 50g blend of aromatic spices like cardamom, cinnamon, and nutmeg ensures authentic flavor and professional results for chicken or beef kababs. Simply marinate and enjoy a tantalizing taste in every bite.</v>
      </c>
    </row>
    <row r="171">
      <c r="A171" s="9" t="s">
        <v>360</v>
      </c>
      <c r="B171" s="9" t="s">
        <v>304</v>
      </c>
      <c r="C171" s="9">
        <v>58.0</v>
      </c>
      <c r="D171" s="9">
        <v>67.0</v>
      </c>
      <c r="E171" s="9">
        <v>3.0</v>
      </c>
      <c r="F171" s="3">
        <f t="shared" si="1"/>
        <v>1.5</v>
      </c>
      <c r="G171" s="6" t="s">
        <v>361</v>
      </c>
      <c r="H171" s="7" t="str">
        <f>IFERROR(__xludf.DUMMYFUNCTION("AI(""Write a short product description under 300 characters for "" &amp; A171 &amp; "" in the "" &amp; B171 &amp; "" category"")"),"The language entered is not supported at this time.")</f>
        <v>The language entered is not supported at this time.</v>
      </c>
    </row>
    <row r="172">
      <c r="A172" s="9" t="s">
        <v>362</v>
      </c>
      <c r="B172" s="9" t="s">
        <v>304</v>
      </c>
      <c r="C172" s="9">
        <v>85.0</v>
      </c>
      <c r="D172" s="9">
        <v>98.0</v>
      </c>
      <c r="E172" s="9">
        <v>3.0</v>
      </c>
      <c r="F172" s="3">
        <f t="shared" si="1"/>
        <v>1.5</v>
      </c>
      <c r="G172" s="6" t="s">
        <v>363</v>
      </c>
      <c r="H172" s="7" t="str">
        <f>IFERROR(__xludf.DUMMYFUNCTION("AI(""Write a short product description under 300 characters for "" &amp; A172 &amp; "" in the "" &amp; B172 &amp; "" category"")"),"Experience the authentic taste of Bangladesh with Radhuni Kala Bhuna Masala. This 80g premium spice blend captures the deep, smoky flavors and rich aroma of traditional beef bhuna. Perfect for creating dark, tender, and flavorful meat dishes at home with "&amp;"ease.")</f>
        <v>Experience the authentic taste of Bangladesh with Radhuni Kala Bhuna Masala. This 80g premium spice blend captures the deep, smoky flavors and rich aroma of traditional beef bhuna. Perfect for creating dark, tender, and flavorful meat dishes at home with ease.</v>
      </c>
    </row>
    <row r="173">
      <c r="A173" s="9" t="s">
        <v>364</v>
      </c>
      <c r="B173" s="9" t="s">
        <v>304</v>
      </c>
      <c r="C173" s="9">
        <v>57.5</v>
      </c>
      <c r="D173" s="9">
        <v>65.0</v>
      </c>
      <c r="E173" s="9">
        <v>3.0</v>
      </c>
      <c r="F173" s="3">
        <f t="shared" si="1"/>
        <v>1.5</v>
      </c>
      <c r="G173" s="6" t="s">
        <v>365</v>
      </c>
      <c r="H173" s="7" t="str">
        <f>IFERROR(__xludf.DUMMYFUNCTION("AI(""Write a short product description under 300 characters for "" &amp; A173 &amp; "" in the "" &amp; B173 &amp; "" category"")"),"Radhuni Kasundi is a traditional Bengali mustard-based relish known for its bold, spicy, and tangy flavor. This versatile condiment adds a pungent zest to snacks like shingara and pakora, or serves as a classic pairing for fish dishes and salads. A dash o"&amp;"f zest for any authentic meal.")</f>
        <v>Radhuni Kasundi is a traditional Bengali mustard-based relish known for its bold, spicy, and tangy flavor. This versatile condiment adds a pungent zest to snacks like shingara and pakora, or serves as a classic pairing for fish dishes and salads. A dash of zest for any authentic meal.</v>
      </c>
    </row>
    <row r="174">
      <c r="A174" s="9" t="s">
        <v>366</v>
      </c>
      <c r="B174" s="9" t="s">
        <v>304</v>
      </c>
      <c r="C174" s="9">
        <v>41.5</v>
      </c>
      <c r="D174" s="9">
        <v>48.0</v>
      </c>
      <c r="E174" s="9">
        <v>3.0</v>
      </c>
      <c r="F174" s="3">
        <f t="shared" si="1"/>
        <v>1.5</v>
      </c>
      <c r="G174" s="6" t="s">
        <v>367</v>
      </c>
      <c r="H174" s="7" t="str">
        <f>IFERROR(__xludf.DUMMYFUNCTION("AI(""Write a short product description under 300 characters for "" &amp; A174 &amp; "" in the "" &amp; B174 &amp; "" category"")"),"Recreate the authentic taste of Mughlai cuisine with Radhuni Korma Masala. This 30g blend of aromatic spices like cardamom, cinnamon, and nutmeg is perfect for making rich, flavorful korma with chicken, beef, or mutton. Its mild spice level makes it a fam"&amp;"ily favorite.")</f>
        <v>Recreate the authentic taste of Mughlai cuisine with Radhuni Korma Masala. This 30g blend of aromatic spices like cardamom, cinnamon, and nutmeg is perfect for making rich, flavorful korma with chicken, beef, or mutton. Its mild spice level makes it a family favorite.</v>
      </c>
    </row>
    <row r="175">
      <c r="A175" s="9" t="s">
        <v>368</v>
      </c>
      <c r="B175" s="9" t="s">
        <v>304</v>
      </c>
      <c r="C175" s="9">
        <v>15.0</v>
      </c>
      <c r="D175" s="9">
        <v>18.0</v>
      </c>
      <c r="E175" s="9">
        <v>12.0</v>
      </c>
      <c r="F175" s="3">
        <f t="shared" si="1"/>
        <v>6</v>
      </c>
      <c r="G175" s="6" t="s">
        <v>369</v>
      </c>
      <c r="H175" s="7" t="str">
        <f>IFERROR(__xludf.DUMMYFUNCTION("AI(""Write a short product description under 300 characters for "" &amp; A175 &amp; "" in the "" &amp; B175 &amp; "" category"")"),"Radhuni Macher Masala 20gm is an authentic spice blend crafted to bring out the traditional taste of local fish curry. Perfect for frying, grilling, or currying, this aromatic seasoning enhances the natural flavors of any fish for a delicious and traditio"&amp;"nal culinary experience.")</f>
        <v>Radhuni Macher Masala 20gm is an authentic spice blend crafted to bring out the traditional taste of local fish curry. Perfect for frying, grilling, or currying, this aromatic seasoning enhances the natural flavors of any fish for a delicious and traditional culinary experience.</v>
      </c>
    </row>
    <row r="176">
      <c r="A176" s="9" t="s">
        <v>370</v>
      </c>
      <c r="B176" s="9" t="s">
        <v>304</v>
      </c>
      <c r="C176" s="9">
        <v>84.0</v>
      </c>
      <c r="D176" s="9">
        <v>95.0</v>
      </c>
      <c r="E176" s="9">
        <v>3.0</v>
      </c>
      <c r="F176" s="3">
        <f t="shared" si="1"/>
        <v>1.5</v>
      </c>
      <c r="G176" s="6" t="s">
        <v>371</v>
      </c>
      <c r="H176" s="7" t="str">
        <f>IFERROR(__xludf.DUMMYFUNCTION("AI(""Write a short product description under 300 characters for "" &amp; A176 &amp; "" in the "" &amp; B176 &amp; "" category"")"),"Radhuni Mangsho Masala 100gm is a premium spice blend crafted for authentic meat curries. This aromatic mix combines turmeric, chilli, and coriander to deliver a rich, traditional Bangladeshi flavor. Perfect for beef, mutton, or chicken, it ensures a deli"&amp;"cious, balanced taste in every bite.")</f>
        <v>Radhuni Mangsho Masala 100gm is a premium spice blend crafted for authentic meat curries. This aromatic mix combines turmeric, chilli, and coriander to deliver a rich, traditional Bangladeshi flavor. Perfect for beef, mutton, or chicken, it ensures a delicious, balanced taste in every bite.</v>
      </c>
    </row>
    <row r="177">
      <c r="A177" s="9" t="s">
        <v>372</v>
      </c>
      <c r="B177" s="9" t="s">
        <v>304</v>
      </c>
      <c r="C177" s="9">
        <v>85.0</v>
      </c>
      <c r="D177" s="9">
        <v>98.0</v>
      </c>
      <c r="E177" s="9">
        <v>5.0</v>
      </c>
      <c r="F177" s="3">
        <f t="shared" si="1"/>
        <v>2.5</v>
      </c>
      <c r="G177" s="6" t="s">
        <v>373</v>
      </c>
      <c r="H177" s="7" t="str">
        <f>IFERROR(__xludf.DUMMYFUNCTION("AI(""Write a short product description under 300 characters for "" &amp; A177 &amp; "" in the "" &amp; B177 &amp; "" category"")"),"Radhuni Mezbani Gorur Masala is a 68g premium spice blend crafted to recreate the authentic, rich, and spicy flavor of traditional Chittagong Mejbani beef curry. Made with aromatic ingredients, this recipe mix simplifies cooking while ensuring a delicious"&amp;", festive taste in every bite.")</f>
        <v>Radhuni Mezbani Gorur Masala is a 68g premium spice blend crafted to recreate the authentic, rich, and spicy flavor of traditional Chittagong Mejbani beef curry. Made with aromatic ingredients, this recipe mix simplifies cooking while ensuring a delicious, festive taste in every bite.</v>
      </c>
    </row>
    <row r="178">
      <c r="A178" s="9" t="s">
        <v>374</v>
      </c>
      <c r="B178" s="9" t="s">
        <v>304</v>
      </c>
      <c r="C178" s="9">
        <v>297.0</v>
      </c>
      <c r="D178" s="9">
        <v>330.0</v>
      </c>
      <c r="E178" s="9">
        <v>3.0</v>
      </c>
      <c r="F178" s="3">
        <f t="shared" si="1"/>
        <v>1.5</v>
      </c>
      <c r="G178" s="6" t="s">
        <v>375</v>
      </c>
      <c r="H178" s="7" t="str">
        <f>IFERROR(__xludf.DUMMYFUNCTION("AI(""Write a short product description under 300 characters for "" &amp; A178 &amp; "" in the "" &amp; B178 &amp; "" category"")"),"Elevate your cooking with Radhuni Morich Gura. Made from premium, sun-dried red chilies, this 500g pack delivers a vibrant red color and intense heat. Perfect for authentic curries, marinades, and stews, it ensures a bold, spicy flavor in every dish.")</f>
        <v>Elevate your cooking with Radhuni Morich Gura. Made from premium, sun-dried red chilies, this 500g pack delivers a vibrant red color and intense heat. Perfect for authentic curries, marinades, and stews, it ensures a bold, spicy flavor in every dish.</v>
      </c>
    </row>
    <row r="179">
      <c r="A179" s="9" t="s">
        <v>376</v>
      </c>
      <c r="B179" s="9" t="s">
        <v>304</v>
      </c>
      <c r="C179" s="9">
        <v>121.5</v>
      </c>
      <c r="D179" s="9">
        <v>135.0</v>
      </c>
      <c r="E179" s="9">
        <v>6.0</v>
      </c>
      <c r="F179" s="3">
        <f t="shared" si="1"/>
        <v>3</v>
      </c>
      <c r="G179" s="6" t="s">
        <v>377</v>
      </c>
      <c r="H179" s="7" t="str">
        <f>IFERROR(__xludf.DUMMYFUNCTION("AI(""Write a short product description under 300 characters for "" &amp; A179 &amp; "" in the "" &amp; B179 &amp; "" category"")"),"Radhuni Morich Gura 200g provides a vibrant red color and intense heat to your favorite dishes. Made from premium dried red chilies, this pure spice adds authentic flavor and richness to curries, marinades, and snacks. Essential for any South Asian kitche"&amp;"n.")</f>
        <v>Radhuni Morich Gura 200g provides a vibrant red color and intense heat to your favorite dishes. Made from premium dried red chilies, this pure spice adds authentic flavor and richness to curries, marinades, and snacks. Essential for any South Asian kitchen.</v>
      </c>
    </row>
    <row r="180">
      <c r="A180" s="9" t="s">
        <v>378</v>
      </c>
      <c r="B180" s="9" t="s">
        <v>304</v>
      </c>
      <c r="C180" s="9">
        <v>64.75</v>
      </c>
      <c r="D180" s="9">
        <v>70.0</v>
      </c>
      <c r="E180" s="9">
        <v>13.0</v>
      </c>
      <c r="F180" s="3">
        <f t="shared" si="1"/>
        <v>6.5</v>
      </c>
      <c r="G180" s="6" t="s">
        <v>379</v>
      </c>
      <c r="H180" s="7" t="str">
        <f>IFERROR(__xludf.DUMMYFUNCTION("AI(""Write a short product description under 300 characters for "" &amp; A180 &amp; "" in the "" &amp; B180 &amp; "" category"")"),"Spice up your dishes with Radhuni Chilli Powder! Produced from the best varieties of red chillies, this 100g pack delivers a fiery flavor and vibrant red color to your curries and marinades. A must-have staple for authentic Bangladeshi and South Asian coo"&amp;"king.")</f>
        <v>Spice up your dishes with Radhuni Chilli Powder! Produced from the best varieties of red chillies, this 100g pack delivers a fiery flavor and vibrant red color to your curries and marinades. A must-have staple for authentic Bangladeshi and South Asian cooking.</v>
      </c>
    </row>
    <row r="181">
      <c r="A181" s="9" t="s">
        <v>380</v>
      </c>
      <c r="B181" s="9" t="s">
        <v>304</v>
      </c>
      <c r="C181" s="9">
        <v>32.75</v>
      </c>
      <c r="D181" s="9">
        <v>35.0</v>
      </c>
      <c r="E181" s="9">
        <v>13.0</v>
      </c>
      <c r="F181" s="3">
        <f t="shared" si="1"/>
        <v>6.5</v>
      </c>
      <c r="G181" s="6" t="s">
        <v>381</v>
      </c>
      <c r="H181" s="7" t="str">
        <f>IFERROR(__xludf.DUMMYFUNCTION("AI(""Write a short product description under 300 characters for "" &amp; A181 &amp; "" in the "" &amp; B181 &amp; "" category"")"),"Spice up your dishes with Radhuni Morich Gura. Made from premium dried red chilies, this 50g pack delivers a vibrant red color and a fiery kick to your curries, marinades, and snacks. Pure and authentic, it is an essential spice for an aromatic and flavor"&amp;"ful culinary experience.")</f>
        <v>Spice up your dishes with Radhuni Morich Gura. Made from premium dried red chilies, this 50g pack delivers a vibrant red color and a fiery kick to your curries, marinades, and snacks. Pure and authentic, it is an essential spice for an aromatic and flavorful culinary experience.</v>
      </c>
    </row>
    <row r="182">
      <c r="A182" s="9" t="s">
        <v>382</v>
      </c>
      <c r="B182" s="9" t="s">
        <v>304</v>
      </c>
      <c r="C182" s="9">
        <v>17.15</v>
      </c>
      <c r="D182" s="9">
        <v>20.0</v>
      </c>
      <c r="E182" s="9">
        <v>12.0</v>
      </c>
      <c r="F182" s="3">
        <f t="shared" si="1"/>
        <v>6</v>
      </c>
      <c r="G182" s="6" t="s">
        <v>383</v>
      </c>
      <c r="H182" s="7" t="str">
        <f>IFERROR(__xludf.DUMMYFUNCTION("AI(""Write a short product description under 300 characters for "" &amp; A182 &amp; "" in the "" &amp; B182 &amp; "" category"")"),"Spice up your dishes with Radhuni Chilli Powder. This 25g pack offers a rich, vibrant red color and a strong, pungent taste, perfect for adding authentic heat and flavor to curries, soups, and stews. Made from premium quality chilies with no artificial ad"&amp;"ditives.")</f>
        <v>Spice up your dishes with Radhuni Chilli Powder. This 25g pack offers a rich, vibrant red color and a strong, pungent taste, perfect for adding authentic heat and flavor to curries, soups, and stews. Made from premium quality chilies with no artificial additives.</v>
      </c>
    </row>
    <row r="183">
      <c r="A183" s="9" t="s">
        <v>384</v>
      </c>
      <c r="B183" s="9" t="s">
        <v>304</v>
      </c>
      <c r="C183" s="9">
        <v>17.0</v>
      </c>
      <c r="D183" s="9">
        <v>20.0</v>
      </c>
      <c r="E183" s="9">
        <v>13.0</v>
      </c>
      <c r="F183" s="3">
        <f t="shared" si="1"/>
        <v>6.5</v>
      </c>
      <c r="G183" s="6" t="s">
        <v>385</v>
      </c>
      <c r="H183" s="7" t="str">
        <f>IFERROR(__xludf.DUMMYFUNCTION("AI(""Write a short product description under 300 characters for "" &amp; A183 &amp; "" in the "" &amp; B183 &amp; "" category"")"),"Radhuni Murgi Mangsho (Chicken Masala) is a premium spice blend crafted for authentic chicken dishes. This 20g pack features a balanced mix of chili, turmeric, ginger, and garlic to deliver rich aroma and flavorful taste. Perfect for quick and delicious c"&amp;"hicken curries, roasts, or grilling.")</f>
        <v>Radhuni Murgi Mangsho (Chicken Masala) is a premium spice blend crafted for authentic chicken dishes. This 20g pack features a balanced mix of chili, turmeric, ginger, and garlic to deliver rich aroma and flavorful taste. Perfect for quick and delicious chicken curries, roasts, or grilling.</v>
      </c>
    </row>
    <row r="184">
      <c r="A184" s="9" t="s">
        <v>386</v>
      </c>
      <c r="B184" s="9" t="s">
        <v>304</v>
      </c>
      <c r="C184" s="9">
        <v>81.25</v>
      </c>
      <c r="D184" s="9">
        <v>95.0</v>
      </c>
      <c r="E184" s="9">
        <v>5.0</v>
      </c>
      <c r="F184" s="3">
        <f t="shared" si="1"/>
        <v>2.5</v>
      </c>
      <c r="G184" s="6" t="s">
        <v>387</v>
      </c>
      <c r="H184" s="7" t="str">
        <f>IFERROR(__xludf.DUMMYFUNCTION("AI(""Write a short product description under 300 characters for "" &amp; A184 &amp; "" in the "" &amp; B184 &amp; "" category"")"),"Radhuni Murgir Masala is a premium 100g spice blend crafted for authentic and flavorful chicken dishes. This aromatic mix combines essential spices in perfect proportions, making it ideal for preparing rich curries or dry preparations with a traditional t"&amp;"aste.")</f>
        <v>Radhuni Murgir Masala is a premium 100g spice blend crafted for authentic and flavorful chicken dishes. This aromatic mix combines essential spices in perfect proportions, making it ideal for preparing rich curries or dry preparations with a traditional taste.</v>
      </c>
    </row>
    <row r="185">
      <c r="A185" s="9" t="s">
        <v>388</v>
      </c>
      <c r="B185" s="9" t="s">
        <v>304</v>
      </c>
      <c r="C185" s="9">
        <v>25.75</v>
      </c>
      <c r="D185" s="9">
        <v>28.0</v>
      </c>
      <c r="E185" s="9">
        <v>13.0</v>
      </c>
      <c r="F185" s="3">
        <f t="shared" si="1"/>
        <v>6.5</v>
      </c>
      <c r="G185" s="6" t="s">
        <v>389</v>
      </c>
      <c r="H185" s="7" t="str">
        <f>IFERROR(__xludf.DUMMYFUNCTION("AI(""Write a short product description under 300 characters for "" &amp; A185 &amp; "" in the "" &amp; B185 &amp; "" category"")"),"Radhuni Panch Phoron 50gm is a traditional Bengali five-spice mix featuring fennel, cumin, nigella, fenugreek, and mustard seeds. Perfect for tempering, it adds a distinct aromatic burst to dal, curries, and pickles. A must-have staple for authentic South"&amp;" Asian flavors.")</f>
        <v>Radhuni Panch Phoron 50gm is a traditional Bengali five-spice mix featuring fennel, cumin, nigella, fenugreek, and mustard seeds. Perfect for tempering, it adds a distinct aromatic burst to dal, curries, and pickles. A must-have staple for authentic South Asian flavors.</v>
      </c>
    </row>
    <row r="186">
      <c r="A186" s="9" t="s">
        <v>390</v>
      </c>
      <c r="B186" s="9" t="s">
        <v>229</v>
      </c>
      <c r="C186" s="9">
        <v>373.0</v>
      </c>
      <c r="D186" s="9">
        <v>425.0</v>
      </c>
      <c r="E186" s="9">
        <v>3.0</v>
      </c>
      <c r="F186" s="3">
        <f t="shared" si="1"/>
        <v>1.5</v>
      </c>
      <c r="G186" s="6" t="s">
        <v>391</v>
      </c>
      <c r="H186" s="7" t="str">
        <f>IFERROR(__xludf.DUMMYFUNCTION("AI(""Write a short product description under 300 characters for "" &amp; A186 &amp; "" in the "" &amp; B186 &amp; "" category"")"),"Elevate your traditional cuisines with Radhuni Premium Ghee. This 200g pack of high-quality clarified butter provides a rich, nutty aroma and superior taste. Perfect for enhancing polao, biriyani, parathas, and sweets, it adds a luxurious touch to every f"&amp;"estive or daily meal.")</f>
        <v>Elevate your traditional cuisines with Radhuni Premium Ghee. This 200g pack of high-quality clarified butter provides a rich, nutty aroma and superior taste. Perfect for enhancing polao, biriyani, parathas, and sweets, it adds a luxurious touch to every festive or daily meal.</v>
      </c>
    </row>
    <row r="187">
      <c r="A187" s="9" t="s">
        <v>392</v>
      </c>
      <c r="B187" s="9" t="s">
        <v>229</v>
      </c>
      <c r="C187" s="9">
        <v>201.0</v>
      </c>
      <c r="D187" s="9">
        <v>230.0</v>
      </c>
      <c r="E187" s="9">
        <v>3.0</v>
      </c>
      <c r="F187" s="3">
        <f t="shared" si="1"/>
        <v>1.5</v>
      </c>
      <c r="G187" s="6" t="s">
        <v>393</v>
      </c>
      <c r="H187" s="7" t="str">
        <f>IFERROR(__xludf.DUMMYFUNCTION("AI(""Write a short product description under 300 characters for "" &amp; A187 &amp; "" in the "" &amp; B187 &amp; "" category"")"),"Elevate your cooking with Radhuni Premium Ghee 100gm. Perfect for polao, biryani, parathas, and sweets, it adds a rich aroma and authentic premium taste. Made from high-quality ingredients, it ensures superior flavor for every festive meal and daily kitch"&amp;"en needs.")</f>
        <v>Elevate your cooking with Radhuni Premium Ghee 100gm. Perfect for polao, biryani, parathas, and sweets, it adds a rich aroma and authentic premium taste. Made from high-quality ingredients, it ensures superior flavor for every festive meal and daily kitchen needs.</v>
      </c>
    </row>
    <row r="188">
      <c r="A188" s="9" t="s">
        <v>394</v>
      </c>
      <c r="B188" s="9" t="s">
        <v>304</v>
      </c>
      <c r="C188" s="9">
        <v>55.0</v>
      </c>
      <c r="D188" s="9">
        <v>65.0</v>
      </c>
      <c r="E188" s="9">
        <v>5.0</v>
      </c>
      <c r="F188" s="3">
        <f t="shared" si="1"/>
        <v>2.5</v>
      </c>
      <c r="G188" s="6" t="s">
        <v>395</v>
      </c>
      <c r="H188" s="7" t="str">
        <f>IFERROR(__xludf.DUMMYFUNCTION("AI(""Write a short product description under 300 characters for "" &amp; A188 &amp; "" in the "" &amp; B188 &amp; "" category"")"),"Radhuni Roast Masala 35g offers a rich blend of traditional spices designed to simplify the preparation of authentic, mouthwatering roasted chicken or beef. This easy-to-mix powder ensures a perfect balance of aroma and flavor for a traditional mealtime e"&amp;"xperience without needing extra spices.")</f>
        <v>Radhuni Roast Masala 35g offers a rich blend of traditional spices designed to simplify the preparation of authentic, mouthwatering roasted chicken or beef. This easy-to-mix powder ensures a perfect balance of aroma and flavor for a traditional mealtime experience without needing extra spices.</v>
      </c>
    </row>
    <row r="189">
      <c r="A189" s="9" t="s">
        <v>396</v>
      </c>
      <c r="B189" s="9" t="s">
        <v>229</v>
      </c>
      <c r="C189" s="9">
        <v>327.0</v>
      </c>
      <c r="D189" s="9">
        <v>350.0</v>
      </c>
      <c r="E189" s="9">
        <v>3.0</v>
      </c>
      <c r="F189" s="3">
        <f t="shared" si="1"/>
        <v>1.5</v>
      </c>
      <c r="G189" s="6" t="s">
        <v>397</v>
      </c>
      <c r="H189" s="7" t="str">
        <f>IFERROR(__xludf.DUMMYFUNCTION("AI(""Write a short product description under 300 characters for "" &amp; A189 &amp; "" in the "" &amp; B189 &amp; "" category"")"),"Experience the authentic, pungent flavor of Radhuni Mustard Oil. Made from premium cold-pressed seeds, this 1L bottle delivers a sharp aroma and rich taste perfect for traditional Bangladeshi dishes, marinating meats, and tempering spices while supporting"&amp;" heart-healthy cooking.")</f>
        <v>Experience the authentic, pungent flavor of Radhuni Mustard Oil. Made from premium cold-pressed seeds, this 1L bottle delivers a sharp aroma and rich taste perfect for traditional Bangladeshi dishes, marinating meats, and tempering spices while supporting heart-healthy cooking.</v>
      </c>
    </row>
    <row r="190">
      <c r="A190" s="9" t="s">
        <v>398</v>
      </c>
      <c r="B190" s="9" t="s">
        <v>229</v>
      </c>
      <c r="C190" s="9">
        <v>167.5</v>
      </c>
      <c r="D190" s="9">
        <v>180.0</v>
      </c>
      <c r="E190" s="9">
        <v>6.0</v>
      </c>
      <c r="F190" s="3">
        <f t="shared" si="1"/>
        <v>3</v>
      </c>
      <c r="G190" s="6" t="s">
        <v>399</v>
      </c>
      <c r="H190" s="7" t="str">
        <f>IFERROR(__xludf.DUMMYFUNCTION("AI(""Write a short product description under 300 characters for "" &amp; A190 &amp; "" in the "" &amp; B190 &amp; "" category"")"),"Radhuni Mustard Oil 500ml is a premium cold-pressed oil made from high-quality mustard seeds. Known for its rich golden color and pungent aroma, it enhances the flavor of traditional Bangladeshi dishes and pickles. Pure and aromatic, it is ideal for fryin"&amp;"g, sautéing, and daily cooking needs.")</f>
        <v>Radhuni Mustard Oil 500ml is a premium cold-pressed oil made from high-quality mustard seeds. Known for its rich golden color and pungent aroma, it enhances the flavor of traditional Bangladeshi dishes and pickles. Pure and aromatic, it is ideal for frying, sautéing, and daily cooking needs.</v>
      </c>
    </row>
    <row r="191">
      <c r="A191" s="9" t="s">
        <v>400</v>
      </c>
      <c r="B191" s="9" t="s">
        <v>229</v>
      </c>
      <c r="C191" s="9">
        <v>86.0</v>
      </c>
      <c r="D191" s="9">
        <v>90.0</v>
      </c>
      <c r="E191" s="9">
        <v>6.0</v>
      </c>
      <c r="F191" s="3">
        <f t="shared" si="1"/>
        <v>3</v>
      </c>
      <c r="G191" s="6" t="s">
        <v>401</v>
      </c>
      <c r="H191" s="7" t="str">
        <f>IFERROR(__xludf.DUMMYFUNCTION("AI(""Write a short product description under 300 characters for "" &amp; A191 &amp; "" in the "" &amp; B191 &amp; "" category"")"),"Radhuni Mustard Oil 250ml is a premium-quality, cold-pressed oil made from carefully selected mustard seeds. Known for its strong aroma and pungent flavor, it is perfect for traditional South Asian cooking, pickling, and marinating, adding an authentic to"&amp;"uch to every dish.")</f>
        <v>Radhuni Mustard Oil 250ml is a premium-quality, cold-pressed oil made from carefully selected mustard seeds. Known for its strong aroma and pungent flavor, it is perfect for traditional South Asian cooking, pickling, and marinating, adding an authentic touch to every dish.</v>
      </c>
    </row>
    <row r="192">
      <c r="A192" s="9" t="s">
        <v>402</v>
      </c>
      <c r="B192" s="9" t="s">
        <v>229</v>
      </c>
      <c r="C192" s="9">
        <v>31.5</v>
      </c>
      <c r="D192" s="9">
        <v>35.0</v>
      </c>
      <c r="E192" s="9">
        <v>13.0</v>
      </c>
      <c r="F192" s="3">
        <f t="shared" si="1"/>
        <v>6.5</v>
      </c>
      <c r="G192" s="6" t="s">
        <v>403</v>
      </c>
      <c r="H192" s="7" t="str">
        <f>IFERROR(__xludf.DUMMYFUNCTION("AI(""Write a short product description under 300 characters for "" &amp; A192 &amp; "" in the "" &amp; B192 &amp; "" category"")"),"Radhuni Pure Mustard Oil is made from hand-picked seeds using cold press technology to retain its natural flavor, pungency, and aroma. This premium, aromatic oil is rich in monounsaturated fatty acids, making it a healthy and flavorful choice for traditio"&amp;"nal cooking and seasoning.")</f>
        <v>Radhuni Pure Mustard Oil is made from hand-picked seeds using cold press technology to retain its natural flavor, pungency, and aroma. This premium, aromatic oil is rich in monounsaturated fatty acids, making it a healthy and flavorful choice for traditional cooking and seasoning.</v>
      </c>
    </row>
    <row r="193">
      <c r="A193" s="9" t="s">
        <v>404</v>
      </c>
      <c r="B193" s="9" t="s">
        <v>229</v>
      </c>
      <c r="C193" s="9">
        <v>385.0</v>
      </c>
      <c r="D193" s="9">
        <v>480.0</v>
      </c>
      <c r="E193" s="9">
        <v>2.0</v>
      </c>
      <c r="F193" s="3">
        <f t="shared" si="1"/>
        <v>1</v>
      </c>
      <c r="G193" s="6" t="s">
        <v>405</v>
      </c>
      <c r="H193" s="7" t="str">
        <f>IFERROR(__xludf.DUMMYFUNCTION("AI(""Write a short product description under 300 characters for "" &amp; A193 &amp; "" in the "" &amp; B193 &amp; "" category"")"),"Radhuni Sunflower Oil 1ltr is a premium, cholesterol-free cooking oil rich in Vitamins A, E, and K. Sourced from high-quality sunflower seeds, this heart-healthy, trans-fat-free oil has a high smoke point, making it perfect for healthy daily cooking and m"&amp;"aintaining a balanced lifestyle.")</f>
        <v>Radhuni Sunflower Oil 1ltr is a premium, cholesterol-free cooking oil rich in Vitamins A, E, and K. Sourced from high-quality sunflower seeds, this heart-healthy, trans-fat-free oil has a high smoke point, making it perfect for healthy daily cooking and maintaining a balanced lifestyle.</v>
      </c>
    </row>
    <row r="194">
      <c r="A194" s="9" t="s">
        <v>406</v>
      </c>
      <c r="B194" s="9" t="s">
        <v>304</v>
      </c>
      <c r="C194" s="9">
        <v>47.33</v>
      </c>
      <c r="D194" s="9">
        <v>55.0</v>
      </c>
      <c r="E194" s="9">
        <v>3.0</v>
      </c>
      <c r="F194" s="3">
        <f t="shared" si="1"/>
        <v>1.5</v>
      </c>
      <c r="G194" s="6" t="s">
        <v>407</v>
      </c>
      <c r="H194" s="7" t="str">
        <f>IFERROR(__xludf.DUMMYFUNCTION("AI(""Write a short product description under 300 characters for "" &amp; A194 &amp; "" in the "" &amp; B194 &amp; "" category"")"),"Experience the authentic taste of Bengali Tehari with Radhuni Tehari Masala. This 40g aromatic spice blend is expertly crafted to bring traditional flavor and rich aroma to your beef, mutton, or chicken rice dishes. Perfect for creating delicious, restaur"&amp;"ant-style meals at home.")</f>
        <v>Experience the authentic taste of Bengali Tehari with Radhuni Tehari Masala. This 40g aromatic spice blend is expertly crafted to bring traditional flavor and rich aroma to your beef, mutton, or chicken rice dishes. Perfect for creating delicious, restaurant-style meals at home.</v>
      </c>
    </row>
    <row r="195">
      <c r="A195" s="9" t="s">
        <v>408</v>
      </c>
      <c r="B195" s="9" t="s">
        <v>229</v>
      </c>
      <c r="C195" s="9">
        <v>58.0</v>
      </c>
      <c r="D195" s="9">
        <v>70.0</v>
      </c>
      <c r="E195" s="9">
        <v>6.0</v>
      </c>
      <c r="F195" s="3">
        <f t="shared" si="1"/>
        <v>3</v>
      </c>
      <c r="G195" s="6" t="s">
        <v>409</v>
      </c>
      <c r="H195" s="7" t="str">
        <f>IFERROR(__xludf.DUMMYFUNCTION("AI(""Write a short product description under 300 characters for "" &amp; A195 &amp; "" in the "" &amp; B195 &amp; "" category"")"),"Radhuni Vinegar 540ml is a versatile kitchen essential made from food-grade ingredients. Its clean, crisp flavor is perfect for enhancing marinades, salads, and soups, or for preserving pickles. A must-have for adding zest and depth to your favorite recip"&amp;"es and daily cooking.")</f>
        <v>Radhuni Vinegar 540ml is a versatile kitchen essential made from food-grade ingredients. Its clean, crisp flavor is perfect for enhancing marinades, salads, and soups, or for preserving pickles. A must-have for adding zest and depth to your favorite recipes and daily cooking.</v>
      </c>
    </row>
    <row r="196">
      <c r="A196" s="9" t="s">
        <v>410</v>
      </c>
      <c r="B196" s="9" t="s">
        <v>229</v>
      </c>
      <c r="C196" s="9">
        <v>37.0</v>
      </c>
      <c r="D196" s="9">
        <v>45.0</v>
      </c>
      <c r="E196" s="9">
        <v>6.0</v>
      </c>
      <c r="F196" s="3">
        <f t="shared" si="1"/>
        <v>3</v>
      </c>
      <c r="G196" s="6" t="s">
        <v>411</v>
      </c>
      <c r="H196" s="7" t="str">
        <f>IFERROR(__xludf.DUMMYFUNCTION("AI(""Write a short product description under 300 characters for "" &amp; A196 &amp; "" in the "" &amp; B196 &amp; "" category"")"),"Radhuni Vinegar 280ml is a high-quality white vinegar, perfect for pickling, salad dressings, and enhancing the flavor of your favorite dishes. This versatile kitchen staple adds a clean, tangy zest to marinades and sauces, making it an essential condimen"&amp;"t for every household.")</f>
        <v>Radhuni Vinegar 280ml is a high-quality white vinegar, perfect for pickling, salad dressings, and enhancing the flavor of your favorite dishes. This versatile kitchen staple adds a clean, tangy zest to marinades and sauces, making it an essential condiment for every household.</v>
      </c>
    </row>
    <row r="197">
      <c r="A197" s="9" t="s">
        <v>412</v>
      </c>
      <c r="B197" s="9" t="s">
        <v>304</v>
      </c>
      <c r="C197" s="9">
        <v>25.75</v>
      </c>
      <c r="D197" s="9">
        <v>30.0</v>
      </c>
      <c r="E197" s="9">
        <v>13.0</v>
      </c>
      <c r="F197" s="3">
        <f t="shared" si="1"/>
        <v>6.5</v>
      </c>
      <c r="G197" s="6" t="s">
        <v>413</v>
      </c>
      <c r="H197" s="7" t="str">
        <f>IFERROR(__xludf.DUMMYFUNCTION("AI(""Write a short product description under 300 characters for "" &amp; A197 &amp; "" in the "" &amp; B197 &amp; "" category"")"),"Elevate your cooking with Radhuni Panch Phoron Powder, a traditional Bengali five-spice blend of fennel, cumin, nigella, fenugreek, and mustard seeds. This aromatic mix adds a unique depth and flavor to dals, curries, and vegetable dishes. Conveniently gr"&amp;"ound for easy use in every meal.")</f>
        <v>Elevate your cooking with Radhuni Panch Phoron Powder, a traditional Bengali five-spice blend of fennel, cumin, nigella, fenugreek, and mustard seeds. This aromatic mix adds a unique depth and flavor to dals, curries, and vegetable dishes. Conveniently ground for easy use in every meal.</v>
      </c>
    </row>
    <row r="198">
      <c r="A198" s="9" t="s">
        <v>414</v>
      </c>
      <c r="B198" s="9" t="s">
        <v>110</v>
      </c>
      <c r="C198" s="9">
        <v>91.0</v>
      </c>
      <c r="D198" s="9">
        <v>100.0</v>
      </c>
      <c r="E198" s="9">
        <v>10.0</v>
      </c>
      <c r="F198" s="3">
        <f t="shared" si="1"/>
        <v>5</v>
      </c>
      <c r="G198" s="6" t="s">
        <v>415</v>
      </c>
      <c r="H198" s="7" t="str">
        <f>IFERROR(__xludf.DUMMYFUNCTION("AI(""Write a short product description under 300 characters for "" &amp; A198 &amp; "" in the "" &amp; B198 &amp; "" category"")"),"Aarong Liquid Milk 1L is a rich, creamy source of calcium, protein, and vitamins A and D. Sourced from homestead dairy farmers, this nutritious pasteurized milk supports bone health and skin glow. Ideal for daily drinking, breakfast cereals, baking, and p"&amp;"reparing traditional desserts.")</f>
        <v>Aarong Liquid Milk 1L is a rich, creamy source of calcium, protein, and vitamins A and D. Sourced from homestead dairy farmers, this nutritious pasteurized milk supports bone health and skin glow. Ideal for daily drinking, breakfast cereals, baking, and preparing traditional desserts.</v>
      </c>
    </row>
    <row r="199">
      <c r="A199" s="9" t="s">
        <v>416</v>
      </c>
      <c r="B199" s="9" t="s">
        <v>110</v>
      </c>
      <c r="C199" s="9">
        <v>45.0</v>
      </c>
      <c r="D199" s="9">
        <v>50.0</v>
      </c>
      <c r="E199" s="9">
        <v>20.0</v>
      </c>
      <c r="F199" s="3">
        <f t="shared" si="1"/>
        <v>10</v>
      </c>
      <c r="G199" s="6" t="s">
        <v>417</v>
      </c>
      <c r="H199" s="7" t="str">
        <f>IFERROR(__xludf.DUMMYFUNCTION("AI(""Write a short product description under 300 characters for "" &amp; A199 &amp; "" in the "" &amp; B199 &amp; "" category"")"),"Aarong Standardized Milk 500ml is a nutritious and creamy dairy staple, rich in essential protein and calcium. Processed for safety and long-lasting freshness, it is perfect for direct drinking, cooking, or enhancing your daily tea and coffee with a smoot"&amp;"h, wholesome taste.")</f>
        <v>Aarong Standardized Milk 500ml is a nutritious and creamy dairy staple, rich in essential protein and calcium. Processed for safety and long-lasting freshness, it is perfect for direct drinking, cooking, or enhancing your daily tea and coffee with a smooth, wholesome taste.</v>
      </c>
    </row>
    <row r="200">
      <c r="A200" s="9" t="s">
        <v>418</v>
      </c>
      <c r="B200" s="9" t="s">
        <v>254</v>
      </c>
      <c r="C200" s="9">
        <v>38.0</v>
      </c>
      <c r="D200" s="9">
        <v>45.0</v>
      </c>
      <c r="E200" s="9">
        <v>24.0</v>
      </c>
      <c r="F200" s="3">
        <f t="shared" si="1"/>
        <v>12</v>
      </c>
      <c r="G200" s="6" t="s">
        <v>419</v>
      </c>
      <c r="H200" s="7" t="str">
        <f>IFERROR(__xludf.DUMMYFUNCTION("AI(""Write a short product description under 300 characters for "" &amp; A200 &amp; "" in the "" &amp; B200 &amp; "" category"")"),"Savor the classic, creamy taste of Cadbury Dairy Milk. This 13.2g bar offers a rich and velvety smooth milk chocolate experience, perfect for a quick sweet treat on the go. Made with 100% sustainably sourced cocoa, it delivers a timeless indulgence in eve"&amp;"ry bite.")</f>
        <v>Savor the classic, creamy taste of Cadbury Dairy Milk. This 13.2g bar offers a rich and velvety smooth milk chocolate experience, perfect for a quick sweet treat on the go. Made with 100% sustainably sourced cocoa, it delivers a timeless indulgence in every bite.</v>
      </c>
    </row>
    <row r="201">
      <c r="A201" s="9" t="s">
        <v>420</v>
      </c>
      <c r="B201" s="9" t="s">
        <v>254</v>
      </c>
      <c r="C201" s="9">
        <v>65.0</v>
      </c>
      <c r="D201" s="9">
        <v>75.0</v>
      </c>
      <c r="E201" s="9">
        <v>24.0</v>
      </c>
      <c r="F201" s="3">
        <f t="shared" si="1"/>
        <v>12</v>
      </c>
      <c r="G201" s="6" t="s">
        <v>421</v>
      </c>
      <c r="H201" s="7" t="str">
        <f>IFERROR(__xludf.DUMMYFUNCTION("AI(""Write a short product description under 300 characters for "" &amp; A201 &amp; "" in the "" &amp; B201 &amp; "" category"")"),"Indulge in the iconic, creamy taste of Cadbury Dairy Milk. Made with a glass and a half of fresh milk, this 18g mini bar offers a smooth and velvety chocolate experience. Perfect for a quick sweet treat or a kid-friendly snack, it delivers pure chocolate "&amp;"joy in every bite.")</f>
        <v>Indulge in the iconic, creamy taste of Cadbury Dairy Milk. Made with a glass and a half of fresh milk, this 18g mini bar offers a smooth and velvety chocolate experience. Perfect for a quick sweet treat or a kid-friendly snack, it delivers pure chocolate joy in every bite.</v>
      </c>
    </row>
    <row r="202">
      <c r="A202" s="9" t="s">
        <v>422</v>
      </c>
      <c r="B202" s="9" t="s">
        <v>254</v>
      </c>
      <c r="C202" s="9">
        <v>108.33</v>
      </c>
      <c r="D202" s="9">
        <v>150.0</v>
      </c>
      <c r="E202" s="9">
        <v>24.0</v>
      </c>
      <c r="F202" s="3">
        <f t="shared" si="1"/>
        <v>12</v>
      </c>
      <c r="G202" s="6" t="s">
        <v>423</v>
      </c>
      <c r="H202" s="7" t="str">
        <f>IFERROR(__xludf.DUMMYFUNCTION("AI(""Write a short product description under 300 characters for "" &amp; A202 &amp; "" in the "" &amp; B202 &amp; "" category"")"),"Indulge in the iconic taste of Cadbury Dairy Milk. This 40g bar features a rich, smooth, and creamy milk chocolate texture made with a glass and a half of milk. Perfect for a quick sweet treat, it offers a classic melt-in-your-mouth experience that brings"&amp;" a moment of pure joy to your day.")</f>
        <v>Indulge in the iconic taste of Cadbury Dairy Milk. This 40g bar features a rich, smooth, and creamy milk chocolate texture made with a glass and a half of milk. Perfect for a quick sweet treat, it offers a classic melt-in-your-mouth experience that brings a moment of pure joy to your day.</v>
      </c>
    </row>
    <row r="203">
      <c r="A203" s="9" t="s">
        <v>424</v>
      </c>
      <c r="B203" s="9" t="s">
        <v>254</v>
      </c>
      <c r="C203" s="9">
        <v>196.0</v>
      </c>
      <c r="D203" s="9">
        <v>230.0</v>
      </c>
      <c r="E203" s="9">
        <v>3.0</v>
      </c>
      <c r="F203" s="3">
        <f t="shared" si="1"/>
        <v>1.5</v>
      </c>
      <c r="G203" s="6" t="s">
        <v>425</v>
      </c>
      <c r="H203" s="7" t="str">
        <f>IFERROR(__xludf.DUMMYFUNCTION("AI(""Write a short product description under 300 characters for "" &amp; A203 &amp; "" in the "" &amp; B203 &amp; "" category"")"),"Indulge in Cadbury Dairy Milk Bubbly, a unique treat featuring aerated milk chocolate for a light, bubbly texture that melts in your mouth. This 46g bar combines the classic, creamy Silk taste with an exciting, airy center, offering a playful and decadent"&amp;" snacking experience.")</f>
        <v>Indulge in Cadbury Dairy Milk Bubbly, a unique treat featuring aerated milk chocolate for a light, bubbly texture that melts in your mouth. This 46g bar combines the classic, creamy Silk taste with an exciting, airy center, offering a playful and decadent snacking experience.</v>
      </c>
    </row>
    <row r="204">
      <c r="A204" s="9" t="s">
        <v>426</v>
      </c>
      <c r="B204" s="9" t="s">
        <v>254</v>
      </c>
      <c r="C204" s="9">
        <v>52.5</v>
      </c>
      <c r="D204" s="9">
        <v>80.0</v>
      </c>
      <c r="E204" s="9">
        <v>40.0</v>
      </c>
      <c r="F204" s="3">
        <f t="shared" si="1"/>
        <v>20</v>
      </c>
      <c r="G204" s="6" t="s">
        <v>427</v>
      </c>
      <c r="H204" s="7" t="str">
        <f>IFERROR(__xludf.DUMMYFUNCTION("AI(""Write a short product description under 300 characters for "" &amp; A204 &amp; "" in the "" &amp; B204 &amp; "" category"")"),"Enjoy the perfect crunch with Cadbury Dairy Milk Crispello. This 19g bar features light, crispy balls at the center covered in a smooth layer of rich milk chocolate. Its unique finger format makes it a fun, shareable snack that delivers a delightful blend"&amp;" of creamy and crunchy textures.")</f>
        <v>Enjoy the perfect crunch with Cadbury Dairy Milk Crispello. This 19g bar features light, crispy balls at the center covered in a smooth layer of rich milk chocolate. Its unique finger format makes it a fun, shareable snack that delivers a delightful blend of creamy and crunchy textures.</v>
      </c>
    </row>
    <row r="205">
      <c r="A205" s="9" t="s">
        <v>428</v>
      </c>
      <c r="B205" s="9" t="s">
        <v>254</v>
      </c>
      <c r="C205" s="9">
        <v>43.8</v>
      </c>
      <c r="D205" s="9">
        <v>85.0</v>
      </c>
      <c r="E205" s="9">
        <v>40.0</v>
      </c>
      <c r="F205" s="3">
        <f t="shared" si="1"/>
        <v>20</v>
      </c>
      <c r="G205" s="6" t="s">
        <v>429</v>
      </c>
      <c r="H205" s="7" t="str">
        <f>IFERROR(__xludf.DUMMYFUNCTION("AI(""Write a short product description under 300 characters for "" &amp; A205 &amp; "" in the "" &amp; B205 &amp; "" category"")"),"Experience a delicious fusion of crunchy peanuts, sweet caramel, and a creamy center, all coated in smooth Cadbury milk chocolate. This 21g bar is a crunchy chocolate feast that satisfies your cravings with a perfect balance of textures. Made with 100% su"&amp;"stainably sourced cocoa.")</f>
        <v>Experience a delicious fusion of crunchy peanuts, sweet caramel, and a creamy center, all coated in smooth Cadbury milk chocolate. This 21g bar is a crunchy chocolate feast that satisfies your cravings with a perfect balance of textures. Made with 100% sustainably sourced cocoa.</v>
      </c>
    </row>
    <row r="206">
      <c r="A206" s="9" t="s">
        <v>430</v>
      </c>
      <c r="B206" s="9" t="s">
        <v>254</v>
      </c>
      <c r="C206" s="9">
        <v>215.0</v>
      </c>
      <c r="D206" s="9">
        <v>250.0</v>
      </c>
      <c r="E206" s="9">
        <v>3.0</v>
      </c>
      <c r="F206" s="3">
        <f t="shared" si="1"/>
        <v>1.5</v>
      </c>
      <c r="G206" s="6" t="s">
        <v>431</v>
      </c>
      <c r="H206" s="7" t="str">
        <f>IFERROR(__xludf.DUMMYFUNCTION("AI(""Write a short product description under 300 characters for "" &amp; A206 &amp; "" in the "" &amp; B206 &amp; "" category"")"),"I'm still learning and can't help with that. Do you need help with anything else?")</f>
        <v>I'm still learning and can't help with that. Do you need help with anything else?</v>
      </c>
    </row>
    <row r="207">
      <c r="A207" s="9" t="s">
        <v>432</v>
      </c>
      <c r="B207" s="9" t="s">
        <v>254</v>
      </c>
      <c r="C207" s="9">
        <v>196.0</v>
      </c>
      <c r="D207" s="9">
        <v>230.0</v>
      </c>
      <c r="E207" s="9">
        <v>3.0</v>
      </c>
      <c r="F207" s="3">
        <f t="shared" si="1"/>
        <v>1.5</v>
      </c>
      <c r="G207" s="6" t="s">
        <v>433</v>
      </c>
      <c r="H207" s="7" t="str">
        <f>IFERROR(__xludf.DUMMYFUNCTION("AI(""Write a short product description under 300 characters for "" &amp; A207 &amp; "" in the "" &amp; B207 &amp; "" category"")"),"Indulge in Cadbury Dairy Milk Oreo, a 58g chocolate bar that combines smooth, creamy milk chocolate with crunchy Oreo cookie bits and a velvety vanilla filling. This decadent treat offers a perfect blend of silky and crunchy textures, making it a favorite"&amp;" for chocolate and cookie lovers alike.")</f>
        <v>Indulge in Cadbury Dairy Milk Oreo, a 58g chocolate bar that combines smooth, creamy milk chocolate with crunchy Oreo cookie bits and a velvety vanilla filling. This decadent treat offers a perfect blend of silky and crunchy textures, making it a favorite for chocolate and cookie lovers alike.</v>
      </c>
    </row>
    <row r="208">
      <c r="A208" s="9" t="s">
        <v>434</v>
      </c>
      <c r="B208" s="9" t="s">
        <v>254</v>
      </c>
      <c r="C208" s="9">
        <v>66.0</v>
      </c>
      <c r="D208" s="9">
        <v>80.0</v>
      </c>
      <c r="E208" s="9">
        <v>10.0</v>
      </c>
      <c r="F208" s="3">
        <f t="shared" si="1"/>
        <v>5</v>
      </c>
      <c r="G208" s="6" t="s">
        <v>435</v>
      </c>
      <c r="H208" s="7" t="str">
        <f>IFERROR(__xludf.DUMMYFUNCTION("AI(""Write a short product description under 300 characters for "" &amp; A208 &amp; "" in the "" &amp; B208 &amp; "" category"")"),"Indulge in Dairy Milk Perk, a perfect fusion of crispy wafer layers and smooth Cadbury milk chocolate. This light and crunchy treat is ideal for satisfying sweet cravings or as an on-the-go snack. Experience the rich, creamy goodness of Dairy Milk in ever"&amp;"y bite. Vegetarian-friendly.")</f>
        <v>Indulge in Dairy Milk Perk, a perfect fusion of crispy wafer layers and smooth Cadbury milk chocolate. This light and crunchy treat is ideal for satisfying sweet cravings or as an on-the-go snack. Experience the rich, creamy goodness of Dairy Milk in every bite. Vegetarian-friendly.</v>
      </c>
    </row>
    <row r="209">
      <c r="A209" s="9" t="s">
        <v>436</v>
      </c>
      <c r="B209" s="9" t="s">
        <v>254</v>
      </c>
      <c r="C209" s="9">
        <v>215.0</v>
      </c>
      <c r="D209" s="9">
        <v>250.0</v>
      </c>
      <c r="E209" s="9">
        <v>3.0</v>
      </c>
      <c r="F209" s="3">
        <f t="shared" si="1"/>
        <v>1.5</v>
      </c>
      <c r="G209" s="6" t="s">
        <v>437</v>
      </c>
      <c r="H209" s="7" t="str">
        <f>IFERROR(__xludf.DUMMYFUNCTION("AI(""Write a short product description under 300 characters for "" &amp; A209 &amp; "" in the "" &amp; B209 &amp; "" category"")"),"Indulge in Cadbury Dairy Milk Silk Roast Almond, a 52g bar of velvety smooth milk chocolate packed with perfectly roasted almonds. Experience the ultimate blend of creamy decadence and satisfying crunch in every bite, making it an ideal treat for any choc"&amp;"olate and nut lover.")</f>
        <v>Indulge in Cadbury Dairy Milk Silk Roast Almond, a 52g bar of velvety smooth milk chocolate packed with perfectly roasted almonds. Experience the ultimate blend of creamy decadence and satisfying crunch in every bite, making it an ideal treat for any chocolate and nut lover.</v>
      </c>
    </row>
    <row r="210">
      <c r="A210" s="9" t="s">
        <v>438</v>
      </c>
      <c r="B210" s="9" t="s">
        <v>254</v>
      </c>
      <c r="C210" s="9">
        <v>205.0</v>
      </c>
      <c r="D210" s="9">
        <v>240.0</v>
      </c>
      <c r="E210" s="9">
        <v>3.0</v>
      </c>
      <c r="F210" s="3">
        <f t="shared" si="1"/>
        <v>1.5</v>
      </c>
      <c r="G210" s="6" t="s">
        <v>439</v>
      </c>
      <c r="H210" s="7" t="str">
        <f>IFERROR(__xludf.DUMMYFUNCTION("AI(""Write a short product description under 300 characters for "" &amp; A210 &amp; "" in the "" &amp; B210 &amp; "" category"")"),"Indulge in the velvety smoothness of Cadbury Dairy Milk Silk. This 55g premium bar features an exceptionally silky texture that melts effortlessly on your tongue, delivering a rich and creamy cocoa flavor. Perfect for a moment of pure indulgence or as a d"&amp;"ecadent snack any time of day.")</f>
        <v>Indulge in the velvety smoothness of Cadbury Dairy Milk Silk. This 55g premium bar features an exceptionally silky texture that melts effortlessly on your tongue, delivering a rich and creamy cocoa flavor. Perfect for a moment of pure indulgence or as a decadent snack any time of day.</v>
      </c>
    </row>
    <row r="211">
      <c r="A211" s="9" t="s">
        <v>440</v>
      </c>
      <c r="B211" s="9" t="s">
        <v>254</v>
      </c>
      <c r="C211" s="9">
        <v>205.0</v>
      </c>
      <c r="D211" s="9">
        <v>240.0</v>
      </c>
      <c r="E211" s="9">
        <v>3.0</v>
      </c>
      <c r="F211" s="3">
        <f t="shared" si="1"/>
        <v>1.5</v>
      </c>
      <c r="G211" s="6" t="s">
        <v>441</v>
      </c>
      <c r="H211" s="7" t="str">
        <f>IFERROR(__xludf.DUMMYFUNCTION("AI(""Write a short product description under 300 characters for "" &amp; A211 &amp; "" in the "" &amp; B211 &amp; "" category"")"),"Indulge in the rich, creamy taste of Cadbury Dairy Milk Silk Fruit &amp; Nut. This 55g bar combines smooth milk chocolate with a delightful blend of crunchy almonds and sweet raisins, offering a luxurious and satisfying treat for any chocolate lover.")</f>
        <v>Indulge in the rich, creamy taste of Cadbury Dairy Milk Silk Fruit &amp; Nut. This 55g bar combines smooth milk chocolate with a delightful blend of crunchy almonds and sweet raisins, offering a luxurious and satisfying treat for any chocolate lover.</v>
      </c>
    </row>
    <row r="212">
      <c r="A212" s="9" t="s">
        <v>442</v>
      </c>
      <c r="B212" s="9" t="s">
        <v>261</v>
      </c>
      <c r="C212" s="9">
        <v>680.0</v>
      </c>
      <c r="D212" s="9">
        <v>780.0</v>
      </c>
      <c r="E212" s="9">
        <v>2.0</v>
      </c>
      <c r="F212" s="3">
        <f t="shared" si="1"/>
        <v>1</v>
      </c>
      <c r="G212" s="6" t="s">
        <v>443</v>
      </c>
      <c r="H212" s="7" t="str">
        <f>IFERROR(__xludf.DUMMYFUNCTION("AI(""Write a short product description under 300 characters for "" &amp; A212 &amp; "" in the "" &amp; B212 &amp; "" category"")"),"Stay refreshed with Tang Orange 750g Jar, a zesty powdered beverage mix with a burst of citrus flavor. Fortified with Vitamin C and calcium, it is easy to prepare—just add water and stir. This family-sized jar is perfect for rehydrating with a sweet, tang"&amp;"y drink any time of day.")</f>
        <v>Stay refreshed with Tang Orange 750g Jar, a zesty powdered beverage mix with a burst of citrus flavor. Fortified with Vitamin C and calcium, it is easy to prepare—just add water and stir. This family-sized jar is perfect for rehydrating with a sweet, tangy drink any time of day.</v>
      </c>
    </row>
    <row r="213">
      <c r="A213" s="9" t="s">
        <v>444</v>
      </c>
      <c r="B213" s="9" t="s">
        <v>261</v>
      </c>
      <c r="C213" s="9">
        <v>180.0</v>
      </c>
      <c r="D213" s="9">
        <v>200.0</v>
      </c>
      <c r="E213" s="9">
        <v>3.0</v>
      </c>
      <c r="F213" s="3">
        <f t="shared" si="1"/>
        <v>1.5</v>
      </c>
      <c r="G213" s="6" t="s">
        <v>445</v>
      </c>
      <c r="H213" s="7" t="str">
        <f>IFERROR(__xludf.DUMMYFUNCTION("AI(""Write a short product description under 300 characters for "" &amp; A213 &amp; "" in the "" &amp; B213 &amp; "" category"")"),"Jump-start your day with the refreshing taste of Tang Orange. This 200g refill pack is bursting with citrus flavor, providing 100% of your daily value of Vitamin C and a good source of calcium. Easy to prepare and perfect for the whole family, it’s a deli"&amp;"cious way to stay energized.")</f>
        <v>Jump-start your day with the refreshing taste of Tang Orange. This 200g refill pack is bursting with citrus flavor, providing 100% of your daily value of Vitamin C and a good source of calcium. Easy to prepare and perfect for the whole family, it’s a delicious way to stay energized.</v>
      </c>
    </row>
    <row r="214">
      <c r="A214" s="9" t="s">
        <v>446</v>
      </c>
      <c r="B214" s="9" t="s">
        <v>261</v>
      </c>
      <c r="C214" s="9">
        <v>380.0</v>
      </c>
      <c r="D214" s="9">
        <v>425.0</v>
      </c>
      <c r="E214" s="9">
        <v>3.0</v>
      </c>
      <c r="F214" s="3">
        <f t="shared" si="1"/>
        <v>1.5</v>
      </c>
      <c r="G214" s="6" t="s">
        <v>447</v>
      </c>
      <c r="H214" s="7" t="str">
        <f>IFERROR(__xludf.DUMMYFUNCTION("AI(""Write a short product description under 300 characters for "" &amp; A214 &amp; "" in the "" &amp; B214 &amp; "" category"")"),"Stay refreshed with Tang Orange Instant Drink Mix. This 500g refill pack is fortified with Vitamin C and calcium, offering a zesty, energizing orange flavor. Simply mix with cold water for a quick, delicious beverage that provides instant hydration and 10"&amp;"0% of your daily Vitamin C.")</f>
        <v>Stay refreshed with Tang Orange Instant Drink Mix. This 500g refill pack is fortified with Vitamin C and calcium, offering a zesty, energizing orange flavor. Simply mix with cold water for a quick, delicious beverage that provides instant hydration and 100% of your daily Vitamin C.</v>
      </c>
    </row>
    <row r="215">
      <c r="A215" s="9" t="s">
        <v>448</v>
      </c>
      <c r="B215" s="9" t="s">
        <v>110</v>
      </c>
      <c r="C215" s="9">
        <v>441.0</v>
      </c>
      <c r="D215" s="9">
        <v>480.0</v>
      </c>
      <c r="E215" s="9">
        <v>4.0</v>
      </c>
      <c r="F215" s="3">
        <f t="shared" si="1"/>
        <v>2</v>
      </c>
      <c r="G215" s="6" t="s">
        <v>449</v>
      </c>
      <c r="H215" s="7" t="str">
        <f>IFERROR(__xludf.DUMMYFUNCTION("AI(""Write a short product description under 300 characters for "" &amp; A215 &amp; "" in the "" &amp; B215 &amp; "" category"")"),"Marks Full Cream Milk Powder 500g offers the rich, creamy taste of fresh cow's milk. Enriched with essential vitamins A and D3, minerals, and calcium, it provides complete family nutrition. Perfect for tea, coffee, baking, and making delicious desserts wi"&amp;"th a smooth, thick consistency.")</f>
        <v>Marks Full Cream Milk Powder 500g offers the rich, creamy taste of fresh cow's milk. Enriched with essential vitamins A and D3, minerals, and calcium, it provides complete family nutrition. Perfect for tea, coffee, baking, and making delicious desserts with a smooth, thick consistency.</v>
      </c>
    </row>
    <row r="216">
      <c r="A216" s="9" t="s">
        <v>450</v>
      </c>
      <c r="B216" s="9" t="s">
        <v>110</v>
      </c>
      <c r="C216" s="9">
        <v>222.5</v>
      </c>
      <c r="D216" s="9">
        <v>245.0</v>
      </c>
      <c r="E216" s="9">
        <v>4.0</v>
      </c>
      <c r="F216" s="3">
        <f t="shared" si="1"/>
        <v>2</v>
      </c>
      <c r="G216" s="6" t="s">
        <v>451</v>
      </c>
      <c r="H216" s="7" t="str">
        <f>IFERROR(__xludf.DUMMYFUNCTION("AI(""Write a short product description under 300 characters for "" &amp; A216 &amp; "" in the "" &amp; B216 &amp; "" category"")"),"Nourish your family with Marks Full Cream Milk Powder. Sourced from Australia, this 250g pack is rich in protein, calcium, and vitamins A and D3. Perfect for tea, coffee, or baking, it offers a creamy taste and essential nutrients for healthy growth and i"&amp;"mmunity.")</f>
        <v>Nourish your family with Marks Full Cream Milk Powder. Sourced from Australia, this 250g pack is rich in protein, calcium, and vitamins A and D3. Perfect for tea, coffee, or baking, it offers a creamy taste and essential nutrients for healthy growth and immunity.</v>
      </c>
    </row>
    <row r="217">
      <c r="A217" s="9" t="s">
        <v>452</v>
      </c>
      <c r="B217" s="9" t="s">
        <v>110</v>
      </c>
      <c r="C217" s="9">
        <v>877.0</v>
      </c>
      <c r="D217" s="9">
        <v>945.0</v>
      </c>
      <c r="E217" s="9">
        <v>3.0</v>
      </c>
      <c r="F217" s="3">
        <f t="shared" si="1"/>
        <v>1.5</v>
      </c>
      <c r="G217" s="6" t="s">
        <v>453</v>
      </c>
      <c r="H217" s="7" t="str">
        <f>IFERROR(__xludf.DUMMYFUNCTION("AI(""Write a short product description under 300 characters for "" &amp; A217 &amp; "" in the "" &amp; B217 &amp; "" category"")"),"Marks Full Cream Milk Powder 1000g is enriched with essential vitamins and minerals, providing the natural goodness of cow's milk. Its rich, creamy flavor is perfect for tea, coffee, and traditional desserts, offering complete nutrition and a delicious ta"&amp;"ste for the whole family.")</f>
        <v>Marks Full Cream Milk Powder 1000g is enriched with essential vitamins and minerals, providing the natural goodness of cow's milk. Its rich, creamy flavor is perfect for tea, coffee, and traditional desserts, offering complete nutrition and a delicious taste for the whole family.</v>
      </c>
    </row>
    <row r="218">
      <c r="A218" s="9" t="s">
        <v>454</v>
      </c>
      <c r="B218" s="9" t="s">
        <v>110</v>
      </c>
      <c r="C218" s="9">
        <v>71.25</v>
      </c>
      <c r="D218" s="9">
        <v>80.0</v>
      </c>
      <c r="E218" s="9">
        <v>12.0</v>
      </c>
      <c r="F218" s="3">
        <f t="shared" si="1"/>
        <v>6</v>
      </c>
      <c r="G218" s="6" t="s">
        <v>455</v>
      </c>
      <c r="H218" s="7" t="str">
        <f>IFERROR(__xludf.DUMMYFUNCTION("AI(""Write a short product description under 300 characters for "" &amp; A218 &amp; "" in the "" &amp; B218 &amp; "" category"")"),"Marks Full Cream Milk Powder 75gm offers rich, creamy goodness in a convenient instant format. Enriched with essential vitamins and minerals, this premium milk powder is perfect for daily tea, coffee, or nutritious drinking, providing the wholesome taste "&amp;"of fresh cow's milk for your family.")</f>
        <v>Marks Full Cream Milk Powder 75gm offers rich, creamy goodness in a convenient instant format. Enriched with essential vitamins and minerals, this premium milk powder is perfect for daily tea, coffee, or nutritious drinking, providing the wholesome taste of fresh cow's milk for your family.</v>
      </c>
    </row>
    <row r="219">
      <c r="A219" s="9" t="s">
        <v>456</v>
      </c>
      <c r="B219" s="9" t="s">
        <v>110</v>
      </c>
      <c r="C219" s="9">
        <v>12.75</v>
      </c>
      <c r="D219" s="9">
        <v>15.0</v>
      </c>
      <c r="E219" s="9">
        <v>12.0</v>
      </c>
      <c r="F219" s="3">
        <f t="shared" si="1"/>
        <v>6</v>
      </c>
      <c r="G219" s="6" t="s">
        <v>457</v>
      </c>
      <c r="H219" s="7" t="str">
        <f>IFERROR(__xludf.DUMMYFUNCTION("AI(""Write a short product description under 300 characters for "" &amp; A219 &amp; "" in the "" &amp; B219 &amp; "" category"")"),"Marks Full Cream Milk Powder 15g offers a rich, creamy taste in a convenient single-serve pack. Enriched with essential vitamins and minerals, it dissolves instantly for a perfect cup of tea, coffee, or a nutritious drink. Ideal for on-the-go energy and d"&amp;"aily family wellness.")</f>
        <v>Marks Full Cream Milk Powder 15g offers a rich, creamy taste in a convenient single-serve pack. Enriched with essential vitamins and minerals, it dissolves instantly for a perfect cup of tea, coffee, or a nutritious drink. Ideal for on-the-go energy and daily family wellness.</v>
      </c>
    </row>
    <row r="220">
      <c r="A220" s="9" t="s">
        <v>458</v>
      </c>
      <c r="B220" s="9" t="s">
        <v>110</v>
      </c>
      <c r="C220" s="9">
        <v>8.0</v>
      </c>
      <c r="D220" s="9">
        <v>10.0</v>
      </c>
      <c r="E220" s="9">
        <v>12.0</v>
      </c>
      <c r="F220" s="3">
        <f t="shared" si="1"/>
        <v>6</v>
      </c>
      <c r="G220" s="6" t="s">
        <v>459</v>
      </c>
      <c r="H220" s="7" t="str">
        <f>IFERROR(__xludf.DUMMYFUNCTION("AI(""Write a short product description under 300 characters for "" &amp; A220 &amp; "" in the "" &amp; B220 &amp; "" category"")"),"Marks Full Cream Milk Powder 8g provides the rich, nutritious goodness of cow's milk in a convenient sachet. Fortified with essential vitamins A and D, it offers a creamy taste perfect for tea, coffee, or a healthy drink, ensuring complete family nutritio"&amp;"n in every serving.")</f>
        <v>Marks Full Cream Milk Powder 8g provides the rich, nutritious goodness of cow's milk in a convenient sachet. Fortified with essential vitamins A and D, it offers a creamy taste perfect for tea, coffee, or a healthy drink, ensuring complete family nutrition in every serving.</v>
      </c>
    </row>
    <row r="221">
      <c r="A221" s="9" t="s">
        <v>460</v>
      </c>
      <c r="B221" s="9" t="s">
        <v>110</v>
      </c>
      <c r="C221" s="9">
        <v>8.5</v>
      </c>
      <c r="D221" s="9">
        <v>10.0</v>
      </c>
      <c r="E221" s="9">
        <v>24.0</v>
      </c>
      <c r="F221" s="3">
        <f t="shared" si="1"/>
        <v>12</v>
      </c>
      <c r="G221" s="6" t="s">
        <v>461</v>
      </c>
      <c r="H221" s="7" t="str">
        <f>IFERROR(__xludf.DUMMYFUNCTION("AI(""Write a short product description under 300 characters for "" &amp; A221 &amp; "" in the "" &amp; B221 &amp; "" category"")"),"Enjoy the perfect cup of coffee with AMA 3-in-1 Coffee Mix. This convenient 14g sachet features a harmonious blend of premium coffee, smooth creamer, and just the right amount of sugar. Perfect for a quick, flavorful brew at home or on the go. Just add ho"&amp;"t water and stir.")</f>
        <v>Enjoy the perfect cup of coffee with AMA 3-in-1 Coffee Mix. This convenient 14g sachet features a harmonious blend of premium coffee, smooth creamer, and just the right amount of sugar. Perfect for a quick, flavorful brew at home or on the go. Just add hot water and stir.</v>
      </c>
    </row>
    <row r="222">
      <c r="A222" s="9" t="s">
        <v>462</v>
      </c>
      <c r="B222" s="9" t="s">
        <v>110</v>
      </c>
      <c r="C222" s="9">
        <v>76.0</v>
      </c>
      <c r="D222" s="9">
        <v>90.0</v>
      </c>
      <c r="E222" s="9">
        <v>3.0</v>
      </c>
      <c r="F222" s="3">
        <f t="shared" si="1"/>
        <v>1.5</v>
      </c>
      <c r="G222" s="6" t="s">
        <v>463</v>
      </c>
      <c r="H222" s="7" t="str">
        <f>IFERROR(__xludf.DUMMYFUNCTION("AI(""Write a short product description under 300 characters for "" &amp; A222 &amp; "" in the "" &amp; B222 &amp; "" category"")"),"Savor the rich, aromatic essence of AMA Classic Coffee. Sourced from Brazil, these roasted and ground beans are turned into a soluble powder for a quick, bold brew. Perfect for a portable, premium coffee experience anytime, anywhere—just add hot water for"&amp;" a classic cup.")</f>
        <v>Savor the rich, aromatic essence of AMA Classic Coffee. Sourced from Brazil, these roasted and ground beans are turned into a soluble powder for a quick, bold brew. Perfect for a portable, premium coffee experience anytime, anywhere—just add hot water for a classic cup.</v>
      </c>
    </row>
    <row r="223">
      <c r="A223" s="9" t="s">
        <v>464</v>
      </c>
      <c r="B223" s="9" t="s">
        <v>110</v>
      </c>
      <c r="C223" s="9">
        <v>95.0</v>
      </c>
      <c r="D223" s="9">
        <v>110.0</v>
      </c>
      <c r="E223" s="9">
        <v>4.0</v>
      </c>
      <c r="F223" s="3">
        <f t="shared" si="1"/>
        <v>2</v>
      </c>
      <c r="G223" s="6" t="s">
        <v>465</v>
      </c>
      <c r="H223" s="7" t="str">
        <f>IFERROR(__xludf.DUMMYFUNCTION("AI(""Write a short product description under 300 characters for "" &amp; A223 &amp; "" in the "" &amp; B223 &amp; "" category"")"),"Experience the refreshing taste of Seylon Green Tea. This premium Ceylon tea is handpicked for quality, offering a light, smooth flavor rich in antioxidants. Each 1.5g bag is perfect for a healthy, revitalizing brew that supports well-being and mental ale"&amp;"rtness any time of day.")</f>
        <v>Experience the refreshing taste of Seylon Green Tea. This premium Ceylon tea is handpicked for quality, offering a light, smooth flavor rich in antioxidants. Each 1.5g bag is perfect for a healthy, revitalizing brew that supports well-being and mental alertness any time of day.</v>
      </c>
    </row>
    <row r="224">
      <c r="A224" s="9" t="s">
        <v>466</v>
      </c>
      <c r="B224" s="9" t="s">
        <v>9</v>
      </c>
      <c r="C224" s="9">
        <v>80.0</v>
      </c>
      <c r="D224" s="9">
        <v>90.0</v>
      </c>
      <c r="E224" s="9">
        <v>4.0</v>
      </c>
      <c r="F224" s="3">
        <f t="shared" si="1"/>
        <v>2</v>
      </c>
      <c r="G224" s="6" t="s">
        <v>467</v>
      </c>
      <c r="H224" s="7" t="str">
        <f>IFERROR(__xludf.DUMMYFUNCTION("AI(""Write a short product description under 300 characters for "" &amp; A224 &amp; "" in the "" &amp; B224 &amp; "" category"")"),"Seylon Pyramid Tea Bags offer a premium black tea experience in a unique pyramid shape for better circulation and flavor. This special blend ensures a perfect, aromatic cup with rich color and a smooth taste. Convenient and high-quality, it is the first p"&amp;"yramid-shaped tea bag in Bangladesh.")</f>
        <v>Seylon Pyramid Tea Bags offer a premium black tea experience in a unique pyramid shape for better circulation and flavor. This special blend ensures a perfect, aromatic cup with rich color and a smooth taste. Convenient and high-quality, it is the first pyramid-shaped tea bag in Bangladesh.</v>
      </c>
    </row>
    <row r="225">
      <c r="A225" s="9" t="s">
        <v>468</v>
      </c>
      <c r="B225" s="9" t="s">
        <v>9</v>
      </c>
      <c r="C225" s="9">
        <v>210.0</v>
      </c>
      <c r="D225" s="9">
        <v>240.0</v>
      </c>
      <c r="E225" s="9">
        <v>4.0</v>
      </c>
      <c r="F225" s="3">
        <f t="shared" si="1"/>
        <v>2</v>
      </c>
      <c r="G225" s="6" t="s">
        <v>469</v>
      </c>
      <c r="H225" s="7" t="str">
        <f>IFERROR(__xludf.DUMMYFUNCTION("AI(""Write a short product description under 300 characters for "" &amp; A225 &amp; "" in the "" &amp; B225 &amp; "" category"")"),"Indulge in Seylon Cha Pata 500gm, a premium blend of the finest tea leaves. This full-bodied black tea offers a rich aroma and robust flavor, capturing the essence of traditional tea craftsmanship. Perfect for a refreshing morning brew or a soothing eveni"&amp;"ng cup.")</f>
        <v>Indulge in Seylon Cha Pata 500gm, a premium blend of the finest tea leaves. This full-bodied black tea offers a rich aroma and robust flavor, capturing the essence of traditional tea craftsmanship. Perfect for a refreshing morning brew or a soothing evening cup.</v>
      </c>
    </row>
    <row r="226">
      <c r="A226" s="9" t="s">
        <v>470</v>
      </c>
      <c r="B226" s="9" t="s">
        <v>9</v>
      </c>
      <c r="C226" s="9">
        <v>110.0</v>
      </c>
      <c r="D226" s="9">
        <v>125.0</v>
      </c>
      <c r="E226" s="9">
        <v>4.0</v>
      </c>
      <c r="F226" s="3">
        <f t="shared" si="1"/>
        <v>2</v>
      </c>
      <c r="G226" s="6" t="s">
        <v>471</v>
      </c>
      <c r="H226" s="7" t="str">
        <f>IFERROR(__xludf.DUMMYFUNCTION("AI(""Write a short product description under 300 characters for "" &amp; A226 &amp; "" in the "" &amp; B226 &amp; "" category"")"),"Enjoy the rich and bold flavor of Seylon Cha Pata. This 250g pack of premium black tea leaves offers a vibrant aroma and a refreshing taste, perfect for brewing a traditional, energizing cup of tea. Sourced for quality to ensure a smooth and satisfying fi"&amp;"nish in every sip.")</f>
        <v>Enjoy the rich and bold flavor of Seylon Cha Pata. This 250g pack of premium black tea leaves offers a vibrant aroma and a refreshing taste, perfect for brewing a traditional, energizing cup of tea. Sourced for quality to ensure a smooth and satisfying finish in every sip.</v>
      </c>
    </row>
    <row r="227">
      <c r="A227" s="9" t="s">
        <v>472</v>
      </c>
      <c r="B227" s="9" t="s">
        <v>41</v>
      </c>
      <c r="C227" s="9">
        <v>80.0</v>
      </c>
      <c r="D227" s="9">
        <v>95.0</v>
      </c>
      <c r="E227" s="9">
        <v>12.0</v>
      </c>
      <c r="F227" s="3">
        <f t="shared" si="1"/>
        <v>6</v>
      </c>
      <c r="G227" s="6" t="s">
        <v>473</v>
      </c>
      <c r="H227" s="7" t="str">
        <f>IFERROR(__xludf.DUMMYFUNCTION("AI(""Write a short product description under 300 characters for "" &amp; A227 &amp; "" in the "" &amp; B227 &amp; "" category"")"),"Bashundhara Facial Tissue offers premium softness and strength for your daily hygiene needs. Made from 100% virgin pulp, these 2-ply tissues are gentle on the skin and highly absorbent. Perfect for home, office, or travel, this 150-sheet box ensures long-"&amp;"lasting comfort and cleanliness.")</f>
        <v>Bashundhara Facial Tissue offers premium softness and strength for your daily hygiene needs. Made from 100% virgin pulp, these 2-ply tissues are gentle on the skin and highly absorbent. Perfect for home, office, or travel, this 150-sheet box ensures long-lasting comfort and cleanliness.</v>
      </c>
    </row>
    <row r="228">
      <c r="A228" s="9" t="s">
        <v>474</v>
      </c>
      <c r="B228" s="9" t="s">
        <v>41</v>
      </c>
      <c r="C228" s="9">
        <v>65.0</v>
      </c>
      <c r="D228" s="9">
        <v>80.0</v>
      </c>
      <c r="E228" s="9">
        <v>12.0</v>
      </c>
      <c r="F228" s="3">
        <f t="shared" si="1"/>
        <v>6</v>
      </c>
      <c r="G228" s="6" t="s">
        <v>475</v>
      </c>
      <c r="H228" s="7" t="str">
        <f>IFERROR(__xludf.DUMMYFUNCTION("AI(""Write a short product description under 300 characters for "" &amp; A228 &amp; "" in the "" &amp; B228 &amp; "" category"")"),"Bashundhara Facial Tissue offers a soft, hygienic, and highly absorbent solution for daily personal care. Made from 100% virgin pulp, these 2-ply non-perfumed tissues are gentle on sensitive skin. The 120-piece box is perfect for home, office, or car use.")</f>
        <v>Bashundhara Facial Tissue offers a soft, hygienic, and highly absorbent solution for daily personal care. Made from 100% virgin pulp, these 2-ply non-perfumed tissues are gentle on sensitive skin. The 120-piece box is perfect for home, office, or car use.</v>
      </c>
    </row>
    <row r="229">
      <c r="A229" s="9" t="s">
        <v>476</v>
      </c>
      <c r="B229" s="9" t="s">
        <v>41</v>
      </c>
      <c r="C229" s="9">
        <v>58.0</v>
      </c>
      <c r="D229" s="9">
        <v>75.0</v>
      </c>
      <c r="E229" s="9">
        <v>12.0</v>
      </c>
      <c r="F229" s="3">
        <f t="shared" si="1"/>
        <v>6</v>
      </c>
      <c r="G229" s="6" t="s">
        <v>477</v>
      </c>
      <c r="H229" s="7" t="str">
        <f>IFERROR(__xludf.DUMMYFUNCTION("AI(""Write a short product description under 300 characters for "" &amp; A229 &amp; "" in the "" &amp; B229 &amp; "" category"")"),"Experience premium softness with Bashundhara Facial Tissue. This 100-sheet box features 2-ply tissues made from 100% virgin pulp, ensuring a gentle and hygienic touch. Perfect for home, office, or car, these absorbent tissues offer everyday comfort for al"&amp;"l skin types.")</f>
        <v>Experience premium softness with Bashundhara Facial Tissue. This 100-sheet box features 2-ply tissues made from 100% virgin pulp, ensuring a gentle and hygienic touch. Perfect for home, office, or car, these absorbent tissues offer everyday comfort for all skin types.</v>
      </c>
    </row>
    <row r="230">
      <c r="A230" s="9" t="s">
        <v>478</v>
      </c>
      <c r="B230" s="9" t="s">
        <v>41</v>
      </c>
      <c r="C230" s="9">
        <v>7.5</v>
      </c>
      <c r="D230" s="9">
        <v>10.0</v>
      </c>
      <c r="E230" s="9">
        <v>24.0</v>
      </c>
      <c r="F230" s="3">
        <f t="shared" si="1"/>
        <v>12</v>
      </c>
      <c r="G230" s="6" t="s">
        <v>479</v>
      </c>
      <c r="H230" s="7" t="str">
        <f>IFERROR(__xludf.DUMMYFUNCTION("AI(""Write a short product description under 300 characters for "" &amp; A230 &amp; "" in the "" &amp; B230 &amp; "" category"")"),"Bashundhara Pocket Tissue Wallet offers a convenient and hygienic solution for on-the-go cleaning. Made from soft, 2-ply virgin pulp, these perfumed tissues are gentle on the skin and highly absorbent. The compact wallet design fits easily into pockets or"&amp;" bags for everyday personal use.")</f>
        <v>Bashundhara Pocket Tissue Wallet offers a convenient and hygienic solution for on-the-go cleaning. Made from soft, 2-ply virgin pulp, these perfumed tissues are gentle on the skin and highly absorbent. The compact wallet design fits easily into pockets or bags for everyday personal use.</v>
      </c>
    </row>
    <row r="231">
      <c r="A231" s="9" t="s">
        <v>480</v>
      </c>
      <c r="B231" s="9" t="s">
        <v>41</v>
      </c>
      <c r="C231" s="9">
        <v>18.5</v>
      </c>
      <c r="D231" s="9">
        <v>28.0</v>
      </c>
      <c r="E231" s="9">
        <v>24.0</v>
      </c>
      <c r="F231" s="3">
        <f t="shared" si="1"/>
        <v>12</v>
      </c>
      <c r="G231" s="6" t="s">
        <v>481</v>
      </c>
      <c r="H231" s="7" t="str">
        <f>IFERROR(__xludf.DUMMYFUNCTION("AI(""Write a short product description under 300 characters for "" &amp; A231 &amp; "" in the "" &amp; B231 &amp; "" category"")"),"Experience superior hygiene with Bashundhara Toilet Tissue White. Made from 100% virgin pulp, this soft and strong 2-ply tissue ensures excellent absorbency and comfort. Skin-friendly and non-perfumed, it is an essential choice for reliable daily personal"&amp;" care at home or on the go.")</f>
        <v>Experience superior hygiene with Bashundhara Toilet Tissue White. Made from 100% virgin pulp, this soft and strong 2-ply tissue ensures excellent absorbency and comfort. Skin-friendly and non-perfumed, it is an essential choice for reliable daily personal care at home or on the go.</v>
      </c>
    </row>
    <row r="232">
      <c r="A232" s="9" t="s">
        <v>482</v>
      </c>
      <c r="B232" s="9" t="s">
        <v>41</v>
      </c>
      <c r="C232" s="9">
        <v>26.0</v>
      </c>
      <c r="D232" s="9">
        <v>38.0</v>
      </c>
      <c r="E232" s="9">
        <v>24.0</v>
      </c>
      <c r="F232" s="3">
        <f t="shared" si="1"/>
        <v>12</v>
      </c>
      <c r="G232" s="6" t="s">
        <v>483</v>
      </c>
      <c r="H232" s="7" t="str">
        <f>IFERROR(__xludf.DUMMYFUNCTION("AI(""Write a short product description under 300 characters for "" &amp; A232 &amp; "" in the "" &amp; B232 &amp; "" category"")"),"Experience unmatched softness and hygiene with Bashundhara Gold Toilet Tissue. This premium 2-ply tissue offers superior absorbency and strength. Crafted with skin-friendly materials, it ensures a comfortable, clean experience for home or office. Reliable"&amp;", soft, and essential for daily hygiene.")</f>
        <v>Experience unmatched softness and hygiene with Bashundhara Gold Toilet Tissue. This premium 2-ply tissue offers superior absorbency and strength. Crafted with skin-friendly materials, it ensures a comfortable, clean experience for home or office. Reliable, soft, and essential for daily hygiene.</v>
      </c>
    </row>
    <row r="233">
      <c r="A233" s="9" t="s">
        <v>484</v>
      </c>
      <c r="B233" s="9" t="s">
        <v>41</v>
      </c>
      <c r="C233" s="9">
        <v>55.0</v>
      </c>
      <c r="D233" s="9">
        <v>75.0</v>
      </c>
      <c r="E233" s="9">
        <v>30.0</v>
      </c>
      <c r="F233" s="3">
        <f t="shared" si="1"/>
        <v>15</v>
      </c>
      <c r="G233" s="6" t="s">
        <v>485</v>
      </c>
      <c r="H233" s="7" t="str">
        <f>IFERROR(__xludf.DUMMYFUNCTION("AI(""Write a short product description under 300 characters for "" &amp; A233 &amp; "" in the "" &amp; B233 &amp; "" category"")"),"Bashundhara Paper Napkins offer premium softness and high absorbency for everyday hygiene. These 100-sheet, 1-ply napkins are made from high-quality pulp, making them strong yet gentle. Perfect for home, office, or restaurant use, they provide a clean and"&amp;" professional touch to any dining experience.")</f>
        <v>Bashundhara Paper Napkins offer premium softness and high absorbency for everyday hygiene. These 100-sheet, 1-ply napkins are made from high-quality pulp, making them strong yet gentle. Perfect for home, office, or restaurant use, they provide a clean and professional touch to any dining experience.</v>
      </c>
    </row>
    <row r="234">
      <c r="A234" s="9" t="s">
        <v>486</v>
      </c>
      <c r="B234" s="9" t="s">
        <v>41</v>
      </c>
      <c r="C234" s="9">
        <v>44.5</v>
      </c>
      <c r="D234" s="9">
        <v>62.0</v>
      </c>
      <c r="E234" s="9">
        <v>30.0</v>
      </c>
      <c r="F234" s="3">
        <f t="shared" si="1"/>
        <v>15</v>
      </c>
      <c r="G234" s="6" t="s">
        <v>487</v>
      </c>
      <c r="H234" s="7" t="str">
        <f>IFERROR(__xludf.DUMMYFUNCTION("AI(""Write a short product description under 300 characters for "" &amp; A234 &amp; "" in the "" &amp; B234 &amp; "" category"")"),"Bashundhara Restaurant Napkins offer premium hygiene and softness for dining. Made from a durable virgin and recycled pulp blend, these 13x13 inch embossed napkins are highly absorbent and lightly perfumed, making them ideal for restaurants, cafes, and ev"&amp;"ents. Includes 100 sheets per pack.")</f>
        <v>Bashundhara Restaurant Napkins offer premium hygiene and softness for dining. Made from a durable virgin and recycled pulp blend, these 13x13 inch embossed napkins are highly absorbent and lightly perfumed, making them ideal for restaurants, cafes, and events. Includes 100 sheets per pack.</v>
      </c>
    </row>
    <row r="235">
      <c r="A235" s="9" t="s">
        <v>488</v>
      </c>
      <c r="B235" s="9" t="s">
        <v>41</v>
      </c>
      <c r="C235" s="9">
        <v>85.0</v>
      </c>
      <c r="D235" s="9">
        <v>110.0</v>
      </c>
      <c r="E235" s="9">
        <v>12.0</v>
      </c>
      <c r="F235" s="3">
        <f t="shared" si="1"/>
        <v>6</v>
      </c>
      <c r="G235" s="6" t="s">
        <v>489</v>
      </c>
      <c r="H235" s="7" t="str">
        <f>IFERROR(__xludf.DUMMYFUNCTION("AI(""Write a short product description under 300 characters for "" &amp; A235 &amp; "" in the "" &amp; B235 &amp; "" category"")"),"Bashundhara Hand Towel 250 Box offers 250 soft, absorbent, and hygienic 1-ply sheets made from 100% virgin pulp. Perfect for homes, offices, and restaurants, these non-perfumed towels ensure quick, gentle hand drying and effective cleanliness in a conveni"&amp;"ent, easy-access box.")</f>
        <v>Bashundhara Hand Towel 250 Box offers 250 soft, absorbent, and hygienic 1-ply sheets made from 100% virgin pulp. Perfect for homes, offices, and restaurants, these non-perfumed towels ensure quick, gentle hand drying and effective cleanliness in a convenient, easy-access box.</v>
      </c>
    </row>
    <row r="236">
      <c r="A236" s="9" t="s">
        <v>490</v>
      </c>
      <c r="B236" s="9" t="s">
        <v>41</v>
      </c>
      <c r="C236" s="9">
        <v>80.0</v>
      </c>
      <c r="D236" s="9">
        <v>105.0</v>
      </c>
      <c r="E236" s="9">
        <v>12.0</v>
      </c>
      <c r="F236" s="3">
        <f t="shared" si="1"/>
        <v>6</v>
      </c>
      <c r="G236" s="6" t="s">
        <v>491</v>
      </c>
      <c r="H236" s="7" t="str">
        <f>IFERROR(__xludf.DUMMYFUNCTION("AI(""Write a short product description under 300 characters for "" &amp; A236 &amp; "" in the "" &amp; B236 &amp; "" category"")"),"Bashundhara Hand Towel 250 Poly offers 250 sheets of soft, strong, and highly absorbent 1-ply tissue. Made from 100% virgin pulp, these non-perfumed white towels are gentle on skin and perfect for hygienic hand drying in homes, offices, and restaurants. S"&amp;"ourced from Bangladesh.")</f>
        <v>Bashundhara Hand Towel 250 Poly offers 250 sheets of soft, strong, and highly absorbent 1-ply tissue. Made from 100% virgin pulp, these non-perfumed white towels are gentle on skin and perfect for hygienic hand drying in homes, offices, and restaurants. Sourced from Bangladesh.</v>
      </c>
    </row>
    <row r="237">
      <c r="A237" s="9" t="s">
        <v>492</v>
      </c>
      <c r="B237" s="9" t="s">
        <v>41</v>
      </c>
      <c r="C237" s="9">
        <v>33.5</v>
      </c>
      <c r="D237" s="9">
        <v>50.0</v>
      </c>
      <c r="E237" s="9">
        <v>12.0</v>
      </c>
      <c r="F237" s="3">
        <f t="shared" si="1"/>
        <v>6</v>
      </c>
      <c r="G237" s="6" t="s">
        <v>493</v>
      </c>
      <c r="H237" s="7" t="str">
        <f>IFERROR(__xludf.DUMMYFUNCTION("AI(""Write a short product description under 300 characters for "" &amp; A237 &amp; "" in the "" &amp; B237 &amp; "" category"")"),"Bashundhara Hand Towel White offers a soft and highly absorbent solution for daily hygiene. Made from high-quality recycled pulp, these 150 non-perfumed sheets provide a gentle, clean experience. Ideal for homes, offices, and restaurants, they ensure quic"&amp;"k and reliable hand drying every time.")</f>
        <v>Bashundhara Hand Towel White offers a soft and highly absorbent solution for daily hygiene. Made from high-quality recycled pulp, these 150 non-perfumed sheets provide a gentle, clean experience. Ideal for homes, offices, and restaurants, they ensure quick and reliable hand drying every time.</v>
      </c>
    </row>
    <row r="238">
      <c r="A238" s="9" t="s">
        <v>494</v>
      </c>
      <c r="B238" s="9" t="s">
        <v>41</v>
      </c>
      <c r="C238" s="9">
        <v>63.0</v>
      </c>
      <c r="D238" s="9">
        <v>80.0</v>
      </c>
      <c r="E238" s="9">
        <v>6.0</v>
      </c>
      <c r="F238" s="3">
        <f t="shared" si="1"/>
        <v>3</v>
      </c>
      <c r="G238" s="6" t="s">
        <v>495</v>
      </c>
      <c r="H238" s="7" t="str">
        <f>IFERROR(__xludf.DUMMYFUNCTION("AI(""Write a short product description under 300 characters for "" &amp; A238 &amp; "" in the "" &amp; B238 &amp; "" category"")"),"Bashundhara Kitchen Towels feature ultra-absorbent 2-ply virgin pulp for superior strength. These lint-free, food-safe towels are ideal for wiping spills, drying hands, and maintaining household hygiene. Durable and efficient, they provide a quick and hyg"&amp;"ienic solution for daily cleaning tasks.")</f>
        <v>Bashundhara Kitchen Towels feature ultra-absorbent 2-ply virgin pulp for superior strength. These lint-free, food-safe towels are ideal for wiping spills, drying hands, and maintaining household hygiene. Durable and efficient, they provide a quick and hygienic solution for daily cleaning tasks.</v>
      </c>
    </row>
    <row r="239">
      <c r="A239" s="9" t="s">
        <v>496</v>
      </c>
      <c r="B239" s="9" t="s">
        <v>261</v>
      </c>
      <c r="C239" s="9">
        <v>16.5</v>
      </c>
      <c r="D239" s="9">
        <v>20.0</v>
      </c>
      <c r="E239" s="9">
        <v>26.0</v>
      </c>
      <c r="F239" s="3">
        <f t="shared" si="1"/>
        <v>13</v>
      </c>
      <c r="G239" s="6" t="s">
        <v>497</v>
      </c>
      <c r="H239" s="7" t="str">
        <f>IFERROR(__xludf.DUMMYFUNCTION("AI(""Write a short product description under 300 characters for "" &amp; A239 &amp; "" in the "" &amp; B239 &amp; "" category"")"),"Experience the refreshing chill of Mojo, the number one beverage brand in Bangladesh. This 250ml cola-flavored carbonated soft drink offers a bold, zesty taste and a burst of youthful energy. Perfectly compact for parties, travel, or any moment that needs"&amp;" a refreshing lift. Sourced from Bangladesh.")</f>
        <v>Experience the refreshing chill of Mojo, the number one beverage brand in Bangladesh. This 250ml cola-flavored carbonated soft drink offers a bold, zesty taste and a burst of youthful energy. Perfectly compact for parties, travel, or any moment that needs a refreshing lift. Sourced from Bangladesh.</v>
      </c>
    </row>
    <row r="240">
      <c r="A240" s="9" t="s">
        <v>498</v>
      </c>
      <c r="B240" s="9" t="s">
        <v>261</v>
      </c>
      <c r="C240" s="9">
        <v>33.0</v>
      </c>
      <c r="D240" s="9">
        <v>40.0</v>
      </c>
      <c r="E240" s="9">
        <v>26.0</v>
      </c>
      <c r="F240" s="3">
        <f t="shared" si="1"/>
        <v>13</v>
      </c>
      <c r="G240" s="6" t="s">
        <v>499</v>
      </c>
      <c r="H240" s="7" t="str">
        <f>IFERROR(__xludf.DUMMYFUNCTION("AI(""Write a short product description under 300 characters for "" &amp; A240 &amp; "" in the "" &amp; B240 &amp; "" category"")"),"Mojo 500ml is a refreshing cola-flavored carbonated soft drink from Akij Food &amp; Beverage. This popular Bangladeshi beverage offers a crisp, invigorating taste that is perfect for parties, travel, or a quick energy boost. Enjoy a rewardingly uplifting expe"&amp;"rience in every bubbly sip.")</f>
        <v>Mojo 500ml is a refreshing cola-flavored carbonated soft drink from Akij Food &amp; Beverage. This popular Bangladeshi beverage offers a crisp, invigorating taste that is perfect for parties, travel, or a quick energy boost. Enjoy a rewardingly uplifting experience in every bubbly sip.</v>
      </c>
    </row>
    <row r="241">
      <c r="A241" s="9" t="s">
        <v>500</v>
      </c>
      <c r="B241" s="9" t="s">
        <v>501</v>
      </c>
      <c r="C241" s="9">
        <v>250.0</v>
      </c>
      <c r="D241" s="9">
        <v>720.0</v>
      </c>
      <c r="E241" s="9">
        <v>4.0</v>
      </c>
      <c r="F241" s="3">
        <f t="shared" si="1"/>
        <v>2</v>
      </c>
      <c r="G241" s="6" t="s">
        <v>502</v>
      </c>
      <c r="H241" s="7" t="str">
        <f>IFERROR(__xludf.DUMMYFUNCTION("AI(""Write a short product description under 300 characters for "" &amp; A241 &amp; "" in the "" &amp; B241 &amp; "" category"")"),"Health Paradise Organic Baby Oats offer a nutritious, creamy, and easy-to-digest start for your little one. Sourced from Australia and certified organic, these oats are free from chemicals, pesticides, and artificial additives, making them an excellent ch"&amp;"oice for introducing solid foods.")</f>
        <v>Health Paradise Organic Baby Oats offer a nutritious, creamy, and easy-to-digest start for your little one. Sourced from Australia and certified organic, these oats are free from chemicals, pesticides, and artificial additives, making them an excellent choice for introducing solid foods.</v>
      </c>
    </row>
    <row r="242">
      <c r="A242" s="9" t="s">
        <v>503</v>
      </c>
      <c r="B242" s="9" t="s">
        <v>254</v>
      </c>
      <c r="C242" s="9">
        <v>105.6</v>
      </c>
      <c r="D242" s="9">
        <v>125.0</v>
      </c>
      <c r="E242" s="9">
        <v>25.0</v>
      </c>
      <c r="F242" s="3">
        <f t="shared" si="1"/>
        <v>12.5</v>
      </c>
      <c r="G242" s="6" t="s">
        <v>504</v>
      </c>
      <c r="H242" s="7" t="str">
        <f>IFERROR(__xludf.DUMMYFUNCTION("AI(""Write a short product description under 300 characters for "" &amp; A242 &amp; "" in the "" &amp; B242 &amp; "" category"")"),"Satisfy your hunger with the classic taste of Sneakers. This delicious chocolate bar is packed with roasted peanuts, smooth nougat, and creamy caramel, all coated in thick milk chocolate. Perfect for a quick energy boost or a sweet snack on the go, it off"&amp;"ers a satisfying crunch in every bite.")</f>
        <v>Satisfy your hunger with the classic taste of Sneakers. This delicious chocolate bar is packed with roasted peanuts, smooth nougat, and creamy caramel, all coated in thick milk chocolate. Perfect for a quick energy boost or a sweet snack on the go, it offers a satisfying crunch in every bite.</v>
      </c>
    </row>
    <row r="243">
      <c r="A243" s="9" t="s">
        <v>505</v>
      </c>
      <c r="B243" s="9" t="s">
        <v>254</v>
      </c>
      <c r="C243" s="9">
        <v>16.9</v>
      </c>
      <c r="D243" s="9">
        <v>23.0</v>
      </c>
      <c r="E243" s="9">
        <v>32.0</v>
      </c>
      <c r="F243" s="3">
        <f t="shared" si="1"/>
        <v>16</v>
      </c>
      <c r="G243" s="6" t="s">
        <v>506</v>
      </c>
      <c r="H243" s="7" t="str">
        <f>IFERROR(__xludf.DUMMYFUNCTION("AI(""Write a short product description under 300 characters for "" &amp; A243 &amp; "" in the "" &amp; B243 &amp; "" category"")"),"Embark on a flavor expedition with Safari! Experience the thrill of chunky layers where cream and wafer collide, draped in rich caramel, covered in rice crisps, and cloaked in smooth milk chocolate. This iconic treat offers a satisfying crunch and timeles"&amp;"s taste in every adventurous bite.")</f>
        <v>Embark on a flavor expedition with Safari! Experience the thrill of chunky layers where cream and wafer collide, draped in rich caramel, covered in rice crisps, and cloaked in smooth milk chocolate. This iconic treat offers a satisfying crunch and timeless taste in every adventurous bite.</v>
      </c>
    </row>
    <row r="244">
      <c r="A244" s="9" t="s">
        <v>507</v>
      </c>
      <c r="B244" s="9" t="s">
        <v>41</v>
      </c>
      <c r="C244" s="9">
        <v>202.5</v>
      </c>
      <c r="D244" s="9">
        <v>225.0</v>
      </c>
      <c r="E244" s="9">
        <v>4.0</v>
      </c>
      <c r="F244" s="3">
        <f t="shared" si="1"/>
        <v>2</v>
      </c>
      <c r="G244" s="6" t="s">
        <v>508</v>
      </c>
      <c r="H244" s="7" t="str">
        <f>IFERROR(__xludf.DUMMYFUNCTION("AI(""Write a short product description under 300 characters for "" &amp; A244 &amp; "" in the "" &amp; B244 &amp; "" category"")"),"Dettol Bodywash provides superior antibacterial protection, killing 99.9% of germs. Its pH-balanced formula creates a rich lather that removes dirt and odor while keeping skin moisturized and soft. Dermatologically tested and suitable for daily use to kee"&amp;"p you feeling healthy and fresh.")</f>
        <v>Dettol Bodywash provides superior antibacterial protection, killing 99.9% of germs. Its pH-balanced formula creates a rich lather that removes dirt and odor while keeping skin moisturized and soft. Dermatologically tested and suitable for daily use to keep you feeling healthy and fresh.</v>
      </c>
    </row>
    <row r="245">
      <c r="A245" s="9" t="s">
        <v>509</v>
      </c>
      <c r="B245" s="9" t="s">
        <v>261</v>
      </c>
      <c r="C245" s="9">
        <v>26.0</v>
      </c>
      <c r="D245" s="9">
        <v>30.0</v>
      </c>
      <c r="E245" s="9">
        <v>8.0</v>
      </c>
      <c r="F245" s="3">
        <f t="shared" si="1"/>
        <v>4</v>
      </c>
      <c r="G245" s="6" t="s">
        <v>510</v>
      </c>
      <c r="H245" s="7" t="str">
        <f>IFERROR(__xludf.DUMMYFUNCTION("AI(""Write a short product description under 300 characters for "" &amp; A245 &amp; "" in the "" &amp; B245 &amp; "" category"")"),"Indulge in Starship Chocolate Milk, a rich and creamy blend of high-quality cocoa and milk. Fortified with essential vitamins and calcium, this 200ml beverage offers a delicious energy boost and a smooth chocolate flavor, making it the perfect treat for a"&amp;"ny time of day.")</f>
        <v>Indulge in Starship Chocolate Milk, a rich and creamy blend of high-quality cocoa and milk. Fortified with essential vitamins and calcium, this 200ml beverage offers a delicious energy boost and a smooth chocolate flavor, making it the perfect treat for any time of day.</v>
      </c>
    </row>
    <row r="246">
      <c r="A246" s="9" t="s">
        <v>511</v>
      </c>
      <c r="B246" s="9" t="s">
        <v>134</v>
      </c>
      <c r="C246" s="9">
        <v>78.0</v>
      </c>
      <c r="D246" s="9">
        <v>100.0</v>
      </c>
      <c r="E246" s="9">
        <v>5.0</v>
      </c>
      <c r="F246" s="3">
        <f t="shared" si="1"/>
        <v>2.5</v>
      </c>
      <c r="G246" s="6" t="s">
        <v>512</v>
      </c>
      <c r="H246" s="7" t="str">
        <f>IFERROR(__xludf.DUMMYFUNCTION("AI(""Write a short product description under 300 characters for "" &amp; A246 &amp; "" in the "" &amp; B246 &amp; "" category"")"),"Spice up your snack time with Starship Jhal Chanachur. This 300g pack features a fiery, crunchy blend of savory ingredients and traditional spices. Perfect for sharing or enjoying with tea, it delivers an authentic and bold flavor profile that spicy snack"&amp;" lovers will crave.")</f>
        <v>Spice up your snack time with Starship Jhal Chanachur. This 300g pack features a fiery, crunchy blend of savory ingredients and traditional spices. Perfect for sharing or enjoying with tea, it delivers an authentic and bold flavor profile that spicy snack lovers will crave.</v>
      </c>
    </row>
    <row r="247">
      <c r="A247" s="9" t="s">
        <v>513</v>
      </c>
      <c r="B247" s="9" t="s">
        <v>261</v>
      </c>
      <c r="C247" s="9">
        <v>33.0</v>
      </c>
      <c r="D247" s="9">
        <v>40.0</v>
      </c>
      <c r="E247" s="9">
        <v>8.0</v>
      </c>
      <c r="F247" s="3">
        <f t="shared" si="1"/>
        <v>4</v>
      </c>
      <c r="G247" s="6" t="s">
        <v>514</v>
      </c>
      <c r="H247" s="7" t="str">
        <f>IFERROR(__xludf.DUMMYFUNCTION("AI(""Write a short product description under 300 characters for "" &amp; A247 &amp; "" in the "" &amp; B247 &amp; "" category"")"),"Savor the rich, creamy taste of Starship Milkshake Cookies 200ml. This delicious blend of milk and sweet cookies and cream flavor is perfect for a quick, refreshing treat on the go. Enjoy a smooth and satisfying finish in every convenient pack.")</f>
        <v>Savor the rich, creamy taste of Starship Milkshake Cookies 200ml. This delicious blend of milk and sweet cookies and cream flavor is perfect for a quick, refreshing treat on the go. Enjoy a smooth and satisfying finish in every convenient pack.</v>
      </c>
    </row>
    <row r="248">
      <c r="A248" s="9" t="s">
        <v>515</v>
      </c>
      <c r="B248" s="9" t="s">
        <v>254</v>
      </c>
      <c r="C248" s="9">
        <v>4.0</v>
      </c>
      <c r="D248" s="9">
        <v>5.0</v>
      </c>
      <c r="E248" s="9">
        <v>72.0</v>
      </c>
      <c r="F248" s="3">
        <f t="shared" si="1"/>
        <v>36</v>
      </c>
      <c r="G248" s="6" t="s">
        <v>516</v>
      </c>
      <c r="H248" s="7" t="str">
        <f>IFERROR(__xludf.DUMMYFUNCTION("AI(""Write a short product description under 300 characters for "" &amp; A248 &amp; "" in the "" &amp; B248 &amp; "" category"")"),"Enjoy a colorful variety of flavors with Aril Assorted Lollipops. These fun, vibrant treats are perfect for parties, goodie bags, or a sweet everyday snack. Individually wrapped for freshness, they offer a long-lasting, fruity experience that kids and can"&amp;"dy lovers will adore.")</f>
        <v>Enjoy a colorful variety of flavors with Aril Assorted Lollipops. These fun, vibrant treats are perfect for parties, goodie bags, or a sweet everyday snack. Individually wrapped for freshness, they offer a long-lasting, fruity experience that kids and candy lovers will adore.</v>
      </c>
    </row>
    <row r="249">
      <c r="A249" s="9" t="s">
        <v>517</v>
      </c>
      <c r="B249" s="9" t="s">
        <v>254</v>
      </c>
      <c r="C249" s="9">
        <v>1.46</v>
      </c>
      <c r="D249" s="9">
        <v>2.0</v>
      </c>
      <c r="E249" s="9">
        <v>75.0</v>
      </c>
      <c r="F249" s="3">
        <f t="shared" si="1"/>
        <v>37.5</v>
      </c>
      <c r="G249" s="6" t="s">
        <v>518</v>
      </c>
      <c r="H249" s="7" t="str">
        <f>IFERROR(__xludf.DUMMYFUNCTION("AI(""Write a short product description under 300 characters for "" &amp; A249 &amp; "" in the "" &amp; B249 &amp; "" category"")"),"Enjoy the burst of flavor with Aril Fruit Blast Chewing Gum. This box contains 75 pieces of liquid-filled, fruit-flavored gum that offers a delightful and refreshing chewing experience. Perfect for sharing or on-the-go freshness, it is a sweet treat for a"&amp;"ny time of day.")</f>
        <v>Enjoy the burst of flavor with Aril Fruit Blast Chewing Gum. This box contains 75 pieces of liquid-filled, fruit-flavored gum that offers a delightful and refreshing chewing experience. Perfect for sharing or on-the-go freshness, it is a sweet treat for any time of day.</v>
      </c>
    </row>
    <row r="250">
      <c r="A250" s="9" t="s">
        <v>519</v>
      </c>
      <c r="B250" s="9" t="s">
        <v>9</v>
      </c>
      <c r="C250" s="9">
        <v>225.0</v>
      </c>
      <c r="D250" s="9">
        <v>300.0</v>
      </c>
      <c r="E250" s="9">
        <v>1.0</v>
      </c>
      <c r="F250" s="3">
        <f t="shared" si="1"/>
        <v>0.5</v>
      </c>
      <c r="G250" s="6" t="s">
        <v>520</v>
      </c>
      <c r="H250" s="7" t="str">
        <f>IFERROR(__xludf.DUMMYFUNCTION("AI(""Write a short product description under 300 characters for "" &amp; A250 &amp; "" in the "" &amp; B250 &amp; "" category"")"),"Indulge in the nostalgic taste of Lotte Coffy Bite, a perfect blend of rich coffee and creamy toffee. This convenient jar is packed with stimulating, coffee-flavored candies that offer a smooth, addictive experience. Ideal for on-the-go snacking or a quic"&amp;"k caffeine-inspired pick-me-up.")</f>
        <v>Indulge in the nostalgic taste of Lotte Coffy Bite, a perfect blend of rich coffee and creamy toffee. This convenient jar is packed with stimulating, coffee-flavored candies that offer a smooth, addictive experience. Ideal for on-the-go snacking or a quick caffeine-inspired pick-me-up.</v>
      </c>
    </row>
    <row r="251">
      <c r="A251" s="9" t="s">
        <v>521</v>
      </c>
      <c r="B251" s="9" t="s">
        <v>522</v>
      </c>
      <c r="C251" s="9">
        <v>215.0</v>
      </c>
      <c r="D251" s="9">
        <v>265.0</v>
      </c>
      <c r="E251" s="9">
        <v>1.0</v>
      </c>
      <c r="F251" s="3">
        <f t="shared" si="1"/>
        <v>0.5</v>
      </c>
      <c r="G251" s="6" t="s">
        <v>523</v>
      </c>
      <c r="H251" s="7" t="str">
        <f>IFERROR(__xludf.DUMMYFUNCTION("AI(""Write a short product description under 300 characters for "" &amp; A251 &amp; "" in the "" &amp; B251 &amp; "" category"")"),"Transtec LED Bright 15W Pin offers energy-efficient, long-lasting illumination. This eco-friendly bulb provides bright, flicker-free light with an instant start, significantly reducing electricity costs. Durable and easy to install, it is a reliable choic"&amp;"e for homes and offices.")</f>
        <v>Transtec LED Bright 15W Pin offers energy-efficient, long-lasting illumination. This eco-friendly bulb provides bright, flicker-free light with an instant start, significantly reducing electricity costs. Durable and easy to install, it is a reliable choice for homes and offices.</v>
      </c>
    </row>
    <row r="252">
      <c r="A252" s="9" t="s">
        <v>524</v>
      </c>
      <c r="B252" s="9" t="s">
        <v>522</v>
      </c>
      <c r="C252" s="9">
        <v>265.0</v>
      </c>
      <c r="D252" s="9">
        <v>345.0</v>
      </c>
      <c r="E252" s="9">
        <v>1.0</v>
      </c>
      <c r="F252" s="3">
        <f t="shared" si="1"/>
        <v>0.5</v>
      </c>
      <c r="G252" s="6" t="s">
        <v>525</v>
      </c>
      <c r="H252" s="7" t="str">
        <f>IFERROR(__xludf.DUMMYFUNCTION("AI(""Write a short product description under 300 characters for "" &amp; A252 &amp; "" in the "" &amp; B252 &amp; "" category"")"),"The Transtec LED Bright 18W Pin bulb offers superior brightness with up to 90% energy savings. Designed for longevity, it lasts 30 times longer than GLS lights. Featuring a wide operating voltage and instant start, this eco-friendly bulb provides reliable"&amp;", flicker-free lighting for any space.")</f>
        <v>The Transtec LED Bright 18W Pin bulb offers superior brightness with up to 90% energy savings. Designed for longevity, it lasts 30 times longer than GLS lights. Featuring a wide operating voltage and instant start, this eco-friendly bulb provides reliable, flicker-free lighting for any space.</v>
      </c>
    </row>
    <row r="253">
      <c r="A253" s="9" t="s">
        <v>526</v>
      </c>
      <c r="B253" s="9" t="s">
        <v>522</v>
      </c>
      <c r="C253" s="9">
        <v>265.0</v>
      </c>
      <c r="D253" s="9">
        <v>345.0</v>
      </c>
      <c r="E253" s="9">
        <v>1.0</v>
      </c>
      <c r="F253" s="3">
        <f t="shared" si="1"/>
        <v>0.5</v>
      </c>
      <c r="G253" s="6" t="s">
        <v>527</v>
      </c>
      <c r="H253" s="7" t="str">
        <f>IFERROR(__xludf.DUMMYFUNCTION("AI(""Write a short product description under 300 characters for "" &amp; A253 &amp; "" in the "" &amp; B253 &amp; "" category"")"),"Experience superior brightness with the Transtac LED Bright 18W Churi. This energy-efficient bulb delivers clear daylight and is designed for long-lasting performance even in low voltage. Mercury-free and eco-friendly, it is a durable choice for reliable "&amp;"lighting in homes or offices.")</f>
        <v>Experience superior brightness with the Transtac LED Bright 18W Churi. This energy-efficient bulb delivers clear daylight and is designed for long-lasting performance even in low voltage. Mercury-free and eco-friendly, it is a durable choice for reliable lighting in homes or offices.</v>
      </c>
    </row>
    <row r="254">
      <c r="A254" s="9" t="s">
        <v>528</v>
      </c>
      <c r="B254" s="9" t="s">
        <v>522</v>
      </c>
      <c r="C254" s="9">
        <v>199.0</v>
      </c>
      <c r="D254" s="9">
        <v>265.0</v>
      </c>
      <c r="E254" s="9">
        <v>1.0</v>
      </c>
      <c r="F254" s="3">
        <f t="shared" si="1"/>
        <v>0.5</v>
      </c>
      <c r="G254" s="6" t="s">
        <v>529</v>
      </c>
      <c r="H254" s="7" t="str">
        <f>IFERROR(__xludf.DUMMYFUNCTION("AI(""Write a short product description under 300 characters for "" &amp; A254 &amp; "" in the "" &amp; B254 &amp; "" category"")"),"Brighten your space with the Transtec LED Bright 13W bulb. This energy-saving LED features a 20,000-hour lifespan, an aluminum body for heat reduction, and flicker-free light. Mercury-free and eco-friendly, it provides consistent brightness and long-lasti"&amp;"ng performance for your home.")</f>
        <v>Brighten your space with the Transtec LED Bright 13W bulb. This energy-saving LED features a 20,000-hour lifespan, an aluminum body for heat reduction, and flicker-free light. Mercury-free and eco-friendly, it provides consistent brightness and long-lasting performance for your home.</v>
      </c>
    </row>
    <row r="255">
      <c r="A255" s="9" t="s">
        <v>530</v>
      </c>
      <c r="B255" s="9" t="s">
        <v>522</v>
      </c>
      <c r="C255" s="9">
        <v>167.0</v>
      </c>
      <c r="D255" s="9">
        <v>200.0</v>
      </c>
      <c r="E255" s="9">
        <v>1.0</v>
      </c>
      <c r="F255" s="3">
        <f t="shared" si="1"/>
        <v>0.5</v>
      </c>
      <c r="G255" s="6" t="s">
        <v>531</v>
      </c>
      <c r="H255" s="7" t="str">
        <f>IFERROR(__xludf.DUMMYFUNCTION("AI(""Write a short product description under 300 characters for "" &amp; A255 &amp; "" in the "" &amp; B255 &amp; "" category"")"),"Transtec LED Bright 9W Pin Type bulb offers energy-efficient, long-lasting illumination for your home or office. Featuring surge protection and a flicker-free design, this eco-friendly bulb provides consistent brightness with low voltage friendliness and "&amp;"easy installation in standard pin sockets.")</f>
        <v>Transtec LED Bright 9W Pin Type bulb offers energy-efficient, long-lasting illumination for your home or office. Featuring surge protection and a flicker-free design, this eco-friendly bulb provides consistent brightness with low voltage friendliness and easy installation in standard pin sockets.</v>
      </c>
    </row>
    <row r="256">
      <c r="A256" s="9" t="s">
        <v>532</v>
      </c>
      <c r="B256" s="9" t="s">
        <v>522</v>
      </c>
      <c r="C256" s="9">
        <v>590.0</v>
      </c>
      <c r="D256" s="9">
        <v>700.0</v>
      </c>
      <c r="E256" s="9">
        <v>1.0</v>
      </c>
      <c r="F256" s="3">
        <f t="shared" si="1"/>
        <v>0.5</v>
      </c>
      <c r="G256" s="6" t="s">
        <v>533</v>
      </c>
      <c r="H256" s="7" t="str">
        <f>IFERROR(__xludf.DUMMYFUNCTION("AI(""Write a short product description under 300 characters for "" &amp; A256 &amp; "" in the "" &amp; B256 &amp; "" category"")"),"Ensure continuous light with the Transtec 10W ACDC Backup LED Bulb. Featuring 2.5 hours of emergency battery backup and overcharge protection, this energy-efficient bulb provides bright daylight during power cuts. Its durable design is perfect for reliabl"&amp;"e indoor lighting.")</f>
        <v>Ensure continuous light with the Transtec 10W ACDC Backup LED Bulb. Featuring 2.5 hours of emergency battery backup and overcharge protection, this energy-efficient bulb provides bright daylight during power cuts. Its durable design is perfect for reliable indoor lighting.</v>
      </c>
    </row>
    <row r="257">
      <c r="A257" s="9" t="s">
        <v>534</v>
      </c>
      <c r="B257" s="9" t="s">
        <v>522</v>
      </c>
      <c r="C257" s="9">
        <v>590.0</v>
      </c>
      <c r="D257" s="9">
        <v>750.0</v>
      </c>
      <c r="E257" s="9">
        <v>1.0</v>
      </c>
      <c r="F257" s="3">
        <f t="shared" si="1"/>
        <v>0.5</v>
      </c>
      <c r="G257" s="6" t="s">
        <v>535</v>
      </c>
      <c r="H257" s="7" t="str">
        <f>IFERROR(__xludf.DUMMYFUNCTION("AI(""Write a short product description under 300 characters for "" &amp; A257 &amp; "" in the "" &amp; B257 &amp; "" category"")"),"Stay prepared for power outages with the Transtec 10W Backup Pin Bulb. This energy-efficient LED lamp features an integrated battery for automatic emergency lighting. Designed with a convenient pin base, it provides reliable brightness and peace of mind f"&amp;"or your home or office.")</f>
        <v>Stay prepared for power outages with the Transtec 10W Backup Pin Bulb. This energy-efficient LED lamp features an integrated battery for automatic emergency lighting. Designed with a convenient pin base, it provides reliable brightness and peace of mind for your home or office.</v>
      </c>
    </row>
    <row r="258">
      <c r="A258" s="9" t="s">
        <v>536</v>
      </c>
      <c r="B258" s="9" t="s">
        <v>522</v>
      </c>
      <c r="C258" s="9">
        <v>730.0</v>
      </c>
      <c r="D258" s="9">
        <v>950.0</v>
      </c>
      <c r="E258" s="9">
        <v>1.0</v>
      </c>
      <c r="F258" s="3">
        <f t="shared" si="1"/>
        <v>0.5</v>
      </c>
      <c r="G258" s="6" t="s">
        <v>537</v>
      </c>
      <c r="H258" s="7" t="str">
        <f>IFERROR(__xludf.DUMMYFUNCTION("AI(""Write a short product description under 300 characters for "" &amp; A258 &amp; "" in the "" &amp; B258 &amp; "" category"")"),"The Transtec Backup 15W Pin LED bulb provides reliable emergency lighting during power outages. This energy-efficient electronics staple features a pin-type base and a powerful 15W output, ensuring your home stays bright and safe when you need it most. Du"&amp;"rable and high-quality for daily use.")</f>
        <v>The Transtec Backup 15W Pin LED bulb provides reliable emergency lighting during power outages. This energy-efficient electronics staple features a pin-type base and a powerful 15W output, ensuring your home stays bright and safe when you need it most. Durable and high-quality for daily use.</v>
      </c>
    </row>
    <row r="259">
      <c r="A259" s="9" t="s">
        <v>538</v>
      </c>
      <c r="B259" s="9" t="s">
        <v>522</v>
      </c>
      <c r="C259" s="9">
        <v>730.0</v>
      </c>
      <c r="D259" s="9">
        <v>950.0</v>
      </c>
      <c r="E259" s="9">
        <v>1.0</v>
      </c>
      <c r="F259" s="3">
        <f t="shared" si="1"/>
        <v>0.5</v>
      </c>
      <c r="G259" s="6" t="s">
        <v>539</v>
      </c>
      <c r="H259" s="7" t="str">
        <f>IFERROR(__xludf.DUMMYFUNCTION("AI(""Write a short product description under 300 characters for "" &amp; A259 &amp; "" in the "" &amp; B259 &amp; "" category"")"),"Ensure uninterrupted lighting with the Transtec 15W LED Backup Bulb. Featuring a screw base and rechargeable battery, this energy-efficient bulb provides 1500 lumens and up to 2 hours of emergency backup during power outages, delivering a crisp, cool dayl"&amp;"ight glow to your home or office.")</f>
        <v>Ensure uninterrupted lighting with the Transtec 15W LED Backup Bulb. Featuring a screw base and rechargeable battery, this energy-efficient bulb provides 1500 lumens and up to 2 hours of emergency backup during power outages, delivering a crisp, cool daylight glow to your home or office.</v>
      </c>
    </row>
    <row r="260">
      <c r="A260" s="9" t="s">
        <v>540</v>
      </c>
      <c r="B260" s="9" t="s">
        <v>522</v>
      </c>
      <c r="C260" s="9">
        <v>445.0</v>
      </c>
      <c r="D260" s="9">
        <v>580.0</v>
      </c>
      <c r="E260" s="9">
        <v>2.0</v>
      </c>
      <c r="F260" s="3">
        <f t="shared" si="1"/>
        <v>1</v>
      </c>
      <c r="G260" s="6" t="s">
        <v>541</v>
      </c>
      <c r="H260" s="7" t="str">
        <f>IFERROR(__xludf.DUMMYFUNCTION("AI(""Write a short product description under 300 characters for "" &amp; A260 &amp; "" in the "" &amp; B260 &amp; "" category"")"),"Eliminate mosquitoes and flying insects instantly with the Transtec Mosquito Bat. This rechargeable electric swatter features a high-voltage grid and protective safety mesh for chemical-free, eco-friendly pest control. Lightweight and durable, it is perfe"&amp;"ct for indoor and outdoor use.")</f>
        <v>Eliminate mosquitoes and flying insects instantly with the Transtec Mosquito Bat. This rechargeable electric swatter features a high-voltage grid and protective safety mesh for chemical-free, eco-friendly pest control. Lightweight and durable, it is perfect for indoor and outdoor use.</v>
      </c>
    </row>
    <row r="261">
      <c r="A261" s="9" t="s">
        <v>542</v>
      </c>
      <c r="B261" s="9" t="s">
        <v>543</v>
      </c>
      <c r="C261" s="9">
        <v>29.81</v>
      </c>
      <c r="D261" s="9">
        <v>35.0</v>
      </c>
      <c r="E261" s="9">
        <v>52.0</v>
      </c>
      <c r="F261" s="3">
        <f t="shared" si="1"/>
        <v>26</v>
      </c>
      <c r="G261" s="6" t="s">
        <v>544</v>
      </c>
      <c r="H261" s="7" t="str">
        <f>IFERROR(__xludf.DUMMYFUNCTION("AI(""Write a short product description under 300 characters for "" &amp; A261 &amp; "" in the "" &amp; B261 &amp; "" category"")"),"Indulge in the Savoy Chocbar, a premium frozen treat featuring smooth, creamy ice cream enrobed in a thick, crunchy chocolate coating. Perfect for a quick and satisfying snack, it delivers a rich and indulgent chocolate experience in every bite.")</f>
        <v>Indulge in the Savoy Chocbar, a premium frozen treat featuring smooth, creamy ice cream enrobed in a thick, crunchy chocolate coating. Perfect for a quick and satisfying snack, it delivers a rich and indulgent chocolate experience in every bite.</v>
      </c>
    </row>
    <row r="262">
      <c r="A262" s="9" t="s">
        <v>545</v>
      </c>
      <c r="B262" s="9" t="s">
        <v>543</v>
      </c>
      <c r="C262" s="9">
        <v>42.36</v>
      </c>
      <c r="D262" s="9">
        <v>50.0</v>
      </c>
      <c r="E262" s="9">
        <v>22.0</v>
      </c>
      <c r="F262" s="3">
        <f t="shared" si="1"/>
        <v>11</v>
      </c>
      <c r="G262" s="6" t="s">
        <v>546</v>
      </c>
      <c r="H262" s="7" t="str">
        <f>IFERROR(__xludf.DUMMYFUNCTION("AI(""Write a short product description under 300 characters for "" &amp; A262 &amp; "" in the "" &amp; B262 &amp; "" category"")"),"Indulge in the Savoy Crunchybar, a premium ice cream treat featuring a smooth, creamy center and a delightfully crunchy outer layer. Perfect for a refreshing snack, this bar offers a satisfying blend of textures and rich flavor in every bite. Enjoy a clas"&amp;"sic frozen indulgence on the go.")</f>
        <v>Indulge in the Savoy Crunchybar, a premium ice cream treat featuring a smooth, creamy center and a delightfully crunchy outer layer. Perfect for a refreshing snack, this bar offers a satisfying blend of textures and rich flavor in every bite. Enjoy a classic frozen indulgence on the go.</v>
      </c>
    </row>
    <row r="263">
      <c r="A263" s="9" t="s">
        <v>547</v>
      </c>
      <c r="B263" s="9" t="s">
        <v>543</v>
      </c>
      <c r="C263" s="9">
        <v>17.0</v>
      </c>
      <c r="D263" s="9">
        <v>20.0</v>
      </c>
      <c r="E263" s="9">
        <v>30.0</v>
      </c>
      <c r="F263" s="3">
        <f t="shared" si="1"/>
        <v>15</v>
      </c>
      <c r="G263" s="6" t="s">
        <v>548</v>
      </c>
      <c r="H263" s="7" t="str">
        <f>IFERROR(__xludf.DUMMYFUNCTION("AI(""Write a short product description under 300 characters for "" &amp; A263 &amp; "" in the "" &amp; B263 &amp; "" category"")"),"Refresh your senses with the Savoy Lolly Lemon. This zesty ice cream treat features a bright, citrusy lemon flavor that is both sweet and tangy. Perfectly frozen for a cooling snack, it is the ideal choice for a light and revitalizing pick-me-up on a warm"&amp;" day. Enjoy a burst of lemon in every bite.")</f>
        <v>Refresh your senses with the Savoy Lolly Lemon. This zesty ice cream treat features a bright, citrusy lemon flavor that is both sweet and tangy. Perfectly frozen for a cooling snack, it is the ideal choice for a light and revitalizing pick-me-up on a warm day. Enjoy a burst of lemon in every bite.</v>
      </c>
    </row>
    <row r="264">
      <c r="A264" s="9" t="s">
        <v>549</v>
      </c>
      <c r="B264" s="9" t="s">
        <v>543</v>
      </c>
      <c r="C264" s="9">
        <v>25.0</v>
      </c>
      <c r="D264" s="9">
        <v>30.0</v>
      </c>
      <c r="E264" s="9">
        <v>30.0</v>
      </c>
      <c r="F264" s="3">
        <f t="shared" si="1"/>
        <v>15</v>
      </c>
      <c r="G264" s="6" t="s">
        <v>550</v>
      </c>
      <c r="H264" s="7" t="str">
        <f>IFERROR(__xludf.DUMMYFUNCTION("AI(""Write a short product description under 300 characters for "" &amp; A264 &amp; "" in the "" &amp; B264 &amp; "" category"")"),"Experience the ultimate treat with Savoy Shell &amp; Core. This indulgent ice cream features a decadent chocolate outer shell that gives way to a smooth, creamy core. Perfectly crafted for a delightful contrast of textures, it is a premium choice for ice crea"&amp;"m lovers seeking a rich, sweet escape.")</f>
        <v>Experience the ultimate treat with Savoy Shell &amp; Core. This indulgent ice cream features a decadent chocolate outer shell that gives way to a smooth, creamy core. Perfectly crafted for a delightful contrast of textures, it is a premium choice for ice cream lovers seeking a rich, sweet escape.</v>
      </c>
    </row>
    <row r="265">
      <c r="A265" s="9" t="s">
        <v>551</v>
      </c>
      <c r="B265" s="9" t="s">
        <v>543</v>
      </c>
      <c r="C265" s="9">
        <v>51.0</v>
      </c>
      <c r="D265" s="9">
        <v>60.0</v>
      </c>
      <c r="E265" s="9">
        <v>16.0</v>
      </c>
      <c r="F265" s="3">
        <f t="shared" si="1"/>
        <v>8</v>
      </c>
      <c r="G265" s="6" t="s">
        <v>552</v>
      </c>
      <c r="H265" s="7" t="str">
        <f>IFERROR(__xludf.DUMMYFUNCTION("AI(""Write a short product description under 300 characters for "" &amp; A265 &amp; "" in the "" &amp; B265 &amp; "" category"")"),"Indulge in the rich and creamy flavor of Savoy Chocolate Cone. Featuring premium chocolate ice cream nestled in a super crispy wafer cone, this delightful treat offers a perfect blend of smooth texture and satisfying crunch for the ultimate chocolate love"&amp;"r's experience.")</f>
        <v>Indulge in the rich and creamy flavor of Savoy Chocolate Cone. Featuring premium chocolate ice cream nestled in a super crispy wafer cone, this delightful treat offers a perfect blend of smooth texture and satisfying crunch for the ultimate chocolate lover's experience.</v>
      </c>
    </row>
    <row r="266">
      <c r="A266" s="9" t="s">
        <v>553</v>
      </c>
      <c r="B266" s="9" t="s">
        <v>543</v>
      </c>
      <c r="C266" s="9">
        <v>83.33</v>
      </c>
      <c r="D266" s="9">
        <v>100.0</v>
      </c>
      <c r="E266" s="9">
        <v>6.0</v>
      </c>
      <c r="F266" s="3">
        <f t="shared" si="1"/>
        <v>3</v>
      </c>
      <c r="G266" s="6" t="s">
        <v>554</v>
      </c>
      <c r="H266" s="7" t="str">
        <f>IFERROR(__xludf.DUMMYFUNCTION("AI(""Write a short product description under 300 characters for "" &amp; A266 &amp; "" in the "" &amp; B266 &amp; "" category"")"),"Experience the redefined indulgence of Savoy Discone. This premium treat features a rich dark chocolate disc with crunchy honeycomb on top, smooth coffee ice cream, and a molten hot chocolate fudge center, all layered in a super crispy chocolate wafer con"&amp;"e for an unforgettable crunch.")</f>
        <v>Experience the redefined indulgence of Savoy Discone. This premium treat features a rich dark chocolate disc with crunchy honeycomb on top, smooth coffee ice cream, and a molten hot chocolate fudge center, all layered in a super crispy chocolate wafer cone for an unforgettable crunch.</v>
      </c>
    </row>
    <row r="267">
      <c r="A267" s="9" t="s">
        <v>555</v>
      </c>
      <c r="B267" s="9" t="s">
        <v>543</v>
      </c>
      <c r="C267" s="9">
        <v>950.0</v>
      </c>
      <c r="D267" s="9">
        <v>1100.0</v>
      </c>
      <c r="E267" s="9">
        <v>1.0</v>
      </c>
      <c r="F267" s="3">
        <f t="shared" si="1"/>
        <v>0.5</v>
      </c>
      <c r="G267" s="6" t="s">
        <v>556</v>
      </c>
      <c r="H267" s="7" t="str">
        <f>IFERROR(__xludf.DUMMYFUNCTION("AI(""Write a short product description under 300 characters for "" &amp; A267 &amp; "" in the "" &amp; B267 &amp; "" category"")"),"Indulge in the luxurious Savoy Dark Desire Ice Cream Cake. This 1kg treat features a rich fusion of premium dark chocolate ice cream and moist chocolate cake, topped with a luscious ganache and delicate chocolate shavings. A decadent delight for true choc"&amp;"olate lovers.")</f>
        <v>Indulge in the luxurious Savoy Dark Desire Ice Cream Cake. This 1kg treat features a rich fusion of premium dark chocolate ice cream and moist chocolate cake, topped with a luscious ganache and delicate chocolate shavings. A decadent delight for true chocolate lovers.</v>
      </c>
    </row>
    <row r="268">
      <c r="A268" s="9" t="s">
        <v>557</v>
      </c>
      <c r="B268" s="9" t="s">
        <v>543</v>
      </c>
      <c r="C268" s="9">
        <v>950.0</v>
      </c>
      <c r="D268" s="9">
        <v>1100.0</v>
      </c>
      <c r="E268" s="9">
        <v>1.0</v>
      </c>
      <c r="F268" s="3">
        <f t="shared" si="1"/>
        <v>0.5</v>
      </c>
      <c r="G268" s="6" t="s">
        <v>558</v>
      </c>
      <c r="H268" s="7" t="str">
        <f>IFERROR(__xludf.DUMMYFUNCTION("AI(""Write a short product description under 300 characters for "" &amp; A268 &amp; "" in the "" &amp; B268 &amp; "" category"")"),"Experience pure indulgence with Savoy Golden Delight Ice Cream Cake. This 1L treat features creamy vanilla ice cream layered with soft sponge cake, strawberry compote, and crunchy nut praline. Perfect for celebrations, it offers a heavenly balance of swee"&amp;"tness and rich, creamy texture.")</f>
        <v>Experience pure indulgence with Savoy Golden Delight Ice Cream Cake. This 1L treat features creamy vanilla ice cream layered with soft sponge cake, strawberry compote, and crunchy nut praline. Perfect for celebrations, it offers a heavenly balance of sweetness and rich, creamy texture.</v>
      </c>
    </row>
    <row r="269">
      <c r="A269" s="9" t="s">
        <v>559</v>
      </c>
      <c r="B269" s="9" t="s">
        <v>543</v>
      </c>
      <c r="C269" s="9">
        <v>237.0</v>
      </c>
      <c r="D269" s="9">
        <v>300.0</v>
      </c>
      <c r="E269" s="9">
        <v>2.0</v>
      </c>
      <c r="F269" s="3">
        <f t="shared" si="1"/>
        <v>1</v>
      </c>
      <c r="G269" s="6" t="s">
        <v>560</v>
      </c>
      <c r="H269" s="7" t="str">
        <f>IFERROR(__xludf.DUMMYFUNCTION("AI(""Write a short product description under 300 characters for "" &amp; A269 &amp; "" in the "" &amp; B269 &amp; "" category"")"),"Indulge in the classic, timeless taste of Savoy Vanilla Ice Cream. This 1kg pack offers a creamy, smooth delight made from premium vanilla. Each spoonful provides a perfect balance of rich, velvety texture and sweet aromatic flavor, making it the ultimate"&amp;" treat for any occasion.")</f>
        <v>Indulge in the classic, timeless taste of Savoy Vanilla Ice Cream. This 1kg pack offers a creamy, smooth delight made from premium vanilla. Each spoonful provides a perfect balance of rich, velvety texture and sweet aromatic flavor, making it the ultimate treat for any occasion.</v>
      </c>
    </row>
    <row r="270">
      <c r="A270" s="9" t="s">
        <v>561</v>
      </c>
      <c r="B270" s="9" t="s">
        <v>543</v>
      </c>
      <c r="C270" s="9">
        <v>25.6</v>
      </c>
      <c r="D270" s="9">
        <v>30.0</v>
      </c>
      <c r="E270" s="9">
        <v>50.0</v>
      </c>
      <c r="F270" s="3">
        <f t="shared" si="1"/>
        <v>25</v>
      </c>
      <c r="G270" s="6" t="s">
        <v>562</v>
      </c>
      <c r="H270" s="7" t="str">
        <f>IFERROR(__xludf.DUMMYFUNCTION("AI(""Write a short product description under 300 characters for "" &amp; A270 &amp; "" in the "" &amp; B270 &amp; "" category"")"),"Indulge in the delightful taste of Igloo Shell &amp; Core Ice Cream. This treat features a creamy vanilla ice cream core encased in a rich, crunchy chocolate shell. Perfectly portioned at 58ml, it offers a satisfying blend of smooth and crispy textures in eve"&amp;"ry bite.")</f>
        <v>Indulge in the delightful taste of Igloo Shell &amp; Core Ice Cream. This treat features a creamy vanilla ice cream core encased in a rich, crunchy chocolate shell. Perfectly portioned at 58ml, it offers a satisfying blend of smooth and crispy textures in every bite.</v>
      </c>
    </row>
    <row r="271">
      <c r="A271" s="9" t="s">
        <v>563</v>
      </c>
      <c r="B271" s="9" t="s">
        <v>543</v>
      </c>
      <c r="C271" s="9">
        <v>17.0</v>
      </c>
      <c r="D271" s="9">
        <v>20.0</v>
      </c>
      <c r="E271" s="9">
        <v>100.0</v>
      </c>
      <c r="F271" s="3">
        <f t="shared" si="1"/>
        <v>50</v>
      </c>
      <c r="G271" s="6" t="s">
        <v>564</v>
      </c>
      <c r="H271" s="7" t="str">
        <f>IFERROR(__xludf.DUMMYFUNCTION("AI(""Write a short product description under 300 characters for "" &amp; A271 &amp; "" in the "" &amp; B271 &amp; "" category"")"),"Keep yourself breezy with the refreshing taste of Igloo Lolly Orange. This tangy and citrusy frozen treat is made with real orange flavor, offering a smooth and icy texture that is perfect for cooling down on hot summer days. A light, fruity indulgence fo"&amp;"r all ages.")</f>
        <v>Keep yourself breezy with the refreshing taste of Igloo Lolly Orange. This tangy and citrusy frozen treat is made with real orange flavor, offering a smooth and icy texture that is perfect for cooling down on hot summer days. A light, fruity indulgence for all ages.</v>
      </c>
    </row>
    <row r="272">
      <c r="A272" s="9" t="s">
        <v>565</v>
      </c>
      <c r="B272" s="9" t="s">
        <v>543</v>
      </c>
      <c r="C272" s="9">
        <v>42.5</v>
      </c>
      <c r="D272" s="9">
        <v>50.0</v>
      </c>
      <c r="E272" s="9">
        <v>32.0</v>
      </c>
      <c r="F272" s="3">
        <f t="shared" si="1"/>
        <v>16</v>
      </c>
      <c r="G272" s="6" t="s">
        <v>566</v>
      </c>
      <c r="H272" s="7" t="str">
        <f>IFERROR(__xludf.DUMMYFUNCTION("AI(""Write a short product description under 300 characters for "" &amp; A272 &amp; "" in the "" &amp; B272 &amp; "" category"")"),"Indulge in the rich and creamy goodness of Igloo Macho. This premium ice cream bar offers a satisfying blend of textures and flavors, making it the perfect treat to cool down and satisfy your sweet cravings. Enjoy a world of taste and enjoyment in every b"&amp;"ite.")</f>
        <v>Indulge in the rich and creamy goodness of Igloo Macho. This premium ice cream bar offers a satisfying blend of textures and flavors, making it the perfect treat to cool down and satisfy your sweet cravings. Enjoy a world of taste and enjoyment in every bite.</v>
      </c>
    </row>
    <row r="273">
      <c r="A273" s="9" t="s">
        <v>567</v>
      </c>
      <c r="B273" s="9" t="s">
        <v>543</v>
      </c>
      <c r="C273" s="9">
        <v>25.56</v>
      </c>
      <c r="D273" s="9">
        <v>30.0</v>
      </c>
      <c r="E273" s="9">
        <v>36.0</v>
      </c>
      <c r="F273" s="3">
        <f t="shared" si="1"/>
        <v>18</v>
      </c>
      <c r="G273" s="6" t="s">
        <v>568</v>
      </c>
      <c r="H273" s="7" t="str">
        <f>IFERROR(__xludf.DUMMYFUNCTION("AI(""Write a short product description under 300 characters for "" &amp; A273 &amp; "" in the "" &amp; B273 &amp; "" category"")"),"Indulge in the classic taste of Igloo Vanilla Cup Ice Cream. Made with high-quality ingredients, this creamy and smooth vanilla treat is perfect for a quick snack or a delightful dessert. Enjoy the rich, authentic flavor of Bangladesh’s favorite ice cream"&amp;" brand in a convenient 100ml cup.")</f>
        <v>Indulge in the classic taste of Igloo Vanilla Cup Ice Cream. Made with high-quality ingredients, this creamy and smooth vanilla treat is perfect for a quick snack or a delightful dessert. Enjoy the rich, authentic flavor of Bangladesh’s favorite ice cream brand in a convenient 100ml cup.</v>
      </c>
    </row>
    <row r="274">
      <c r="A274" s="9" t="s">
        <v>569</v>
      </c>
      <c r="B274" s="9" t="s">
        <v>543</v>
      </c>
      <c r="C274" s="9">
        <v>59.17</v>
      </c>
      <c r="D274" s="9">
        <v>70.0</v>
      </c>
      <c r="E274" s="9">
        <v>24.0</v>
      </c>
      <c r="F274" s="3">
        <f t="shared" si="1"/>
        <v>12</v>
      </c>
      <c r="G274" s="6" t="s">
        <v>570</v>
      </c>
      <c r="H274" s="7" t="str">
        <f>IFERROR(__xludf.DUMMYFUNCTION("AI(""Write a short product description under 300 characters for "" &amp; A274 &amp; "" in the "" &amp; B274 &amp; "" category"")"),"Savor the traditional taste of Igloo Firni in a convenient cup. This creamy frozen treat captures the authentic flavor of classic rice pudding, blending rich milk and aromatic spices for a delightful dessert experience. Perfect for a refreshing and nostal"&amp;"gic snack on the go.")</f>
        <v>Savor the traditional taste of Igloo Firni in a convenient cup. This creamy frozen treat captures the authentic flavor of classic rice pudding, blending rich milk and aromatic spices for a delightful dessert experience. Perfect for a refreshing and nostalgic snack on the go.</v>
      </c>
    </row>
    <row r="275">
      <c r="A275" s="9" t="s">
        <v>571</v>
      </c>
      <c r="B275" s="9" t="s">
        <v>543</v>
      </c>
      <c r="C275" s="9">
        <v>137.0</v>
      </c>
      <c r="D275" s="9">
        <v>160.0</v>
      </c>
      <c r="E275" s="9">
        <v>2.0</v>
      </c>
      <c r="F275" s="3">
        <f t="shared" si="1"/>
        <v>1</v>
      </c>
      <c r="G275" s="6" t="s">
        <v>572</v>
      </c>
      <c r="H275" s="7" t="str">
        <f>IFERROR(__xludf.DUMMYFUNCTION("AI(""Write a short product description under 300 characters for "" &amp; A275 &amp; "" in the "" &amp; B275 &amp; "" category"")"),"Indulge in the timeless taste of Igloo Vanilla Ice Cream. This 1/2 liter tub offers a rich, velvety smooth texture and a classic creamy flavor that is perfect for sharing with family or enjoying as a solo treat. A delightful dessert for any occasion.")</f>
        <v>Indulge in the timeless taste of Igloo Vanilla Ice Cream. This 1/2 liter tub offers a rich, velvety smooth texture and a classic creamy flavor that is perfect for sharing with family or enjoying as a solo treat. A delightful dessert for any occasion.</v>
      </c>
    </row>
    <row r="276">
      <c r="A276" s="9" t="s">
        <v>573</v>
      </c>
      <c r="B276" s="9" t="s">
        <v>543</v>
      </c>
      <c r="C276" s="9">
        <v>137.0</v>
      </c>
      <c r="D276" s="9">
        <v>160.0</v>
      </c>
      <c r="E276" s="9">
        <v>2.0</v>
      </c>
      <c r="F276" s="3">
        <f t="shared" si="1"/>
        <v>1</v>
      </c>
      <c r="G276" s="6" t="s">
        <v>574</v>
      </c>
      <c r="H276" s="7" t="str">
        <f>IFERROR(__xludf.DUMMYFUNCTION("AI(""Write a short product description under 300 characters for "" &amp; A276 &amp; "" in the "" &amp; B276 &amp; "" category"")"),"Indulge in the fruity freshness of Igloo Strawberry Ice Cream. This 500ml pack offers a smooth and creamy texture blended with the natural sweetness of ripe strawberries. Perfect as a standalone dessert, a snack, or a delicious addition to milkshakes and "&amp;"smoothies.")</f>
        <v>Indulge in the fruity freshness of Igloo Strawberry Ice Cream. This 500ml pack offers a smooth and creamy texture blended with the natural sweetness of ripe strawberries. Perfect as a standalone dessert, a snack, or a delicious addition to milkshakes and smoothies.</v>
      </c>
    </row>
    <row r="277">
      <c r="A277" s="9" t="s">
        <v>575</v>
      </c>
      <c r="B277" s="9" t="s">
        <v>543</v>
      </c>
      <c r="C277" s="9">
        <v>137.0</v>
      </c>
      <c r="D277" s="9">
        <v>160.0</v>
      </c>
      <c r="E277" s="9">
        <v>2.0</v>
      </c>
      <c r="F277" s="3">
        <f t="shared" si="1"/>
        <v>1</v>
      </c>
      <c r="G277" s="6" t="s">
        <v>576</v>
      </c>
      <c r="H277" s="7" t="str">
        <f>IFERROR(__xludf.DUMMYFUNCTION("AI(""Write a short product description under 300 characters for "" &amp; A277 &amp; "" in the "" &amp; B277 &amp; "" category"")"),"Indulge in the rich and velvety taste of Igloo Chocolate Ice Cream. This 500ml tub offers a smooth, creamy texture and a deep cocoa flavor, making it the perfect treat for chocolate lovers. Ideal for sharing with family or enjoying as a decadent solo dess"&amp;"ert.")</f>
        <v>Indulge in the rich and velvety taste of Igloo Chocolate Ice Cream. This 500ml tub offers a smooth, creamy texture and a deep cocoa flavor, making it the perfect treat for chocolate lovers. Ideal for sharing with family or enjoying as a decadent solo dessert.</v>
      </c>
    </row>
    <row r="278">
      <c r="A278" s="9" t="s">
        <v>577</v>
      </c>
      <c r="B278" s="9" t="s">
        <v>543</v>
      </c>
      <c r="C278" s="9">
        <v>258.0</v>
      </c>
      <c r="D278" s="9">
        <v>300.0</v>
      </c>
      <c r="E278" s="9">
        <v>3.0</v>
      </c>
      <c r="F278" s="3">
        <f t="shared" si="1"/>
        <v>1.5</v>
      </c>
      <c r="G278" s="6" t="s">
        <v>578</v>
      </c>
      <c r="H278" s="7" t="str">
        <f>IFERROR(__xludf.DUMMYFUNCTION("AI(""Write a short product description under 300 characters for "" &amp; A278 &amp; "" in the "" &amp; B278 &amp; "" category"")"),"Enjoy the classic and creamy taste of Igloo Vanilla Ice Cream. This 1L tub offers a versatile and timeless treat made with high-quality ingredients, perfect for sharing with family or as a delightful companion to your favorite desserts. Experience the smo"&amp;"oth, rich flavor in every scoop.")</f>
        <v>Enjoy the classic and creamy taste of Igloo Vanilla Ice Cream. This 1L tub offers a versatile and timeless treat made with high-quality ingredients, perfect for sharing with family or as a delightful companion to your favorite desserts. Experience the smooth, rich flavor in every scoop.</v>
      </c>
    </row>
    <row r="279">
      <c r="A279" s="9" t="s">
        <v>579</v>
      </c>
      <c r="B279" s="9" t="s">
        <v>543</v>
      </c>
      <c r="C279" s="9">
        <v>258.0</v>
      </c>
      <c r="D279" s="9">
        <v>300.0</v>
      </c>
      <c r="E279" s="9">
        <v>3.0</v>
      </c>
      <c r="F279" s="3">
        <f t="shared" si="1"/>
        <v>1.5</v>
      </c>
      <c r="G279" s="6" t="s">
        <v>580</v>
      </c>
      <c r="H279" s="7" t="str">
        <f>IFERROR(__xludf.DUMMYFUNCTION("AI(""Write a short product description under 300 characters for "" &amp; A279 &amp; "" in the "" &amp; B279 &amp; "" category"")"),"Indulge in the fruity freshness of Igloo Strawberry Ice Cream. This smooth and creamy 1L tub is bursting with the natural sweetness of ripe strawberries, making it a perfect treat on its own or a delicious addition to milkshakes, smoothies, and desserts. "&amp;"Enjoy a vibrant berry flavor in every scoop.")</f>
        <v>Indulge in the fruity freshness of Igloo Strawberry Ice Cream. This smooth and creamy 1L tub is bursting with the natural sweetness of ripe strawberries, making it a perfect treat on its own or a delicious addition to milkshakes, smoothies, and desserts. Enjoy a vibrant berry flavor in every scoop.</v>
      </c>
    </row>
    <row r="280">
      <c r="A280" s="9" t="s">
        <v>581</v>
      </c>
      <c r="B280" s="9" t="s">
        <v>543</v>
      </c>
      <c r="C280" s="9">
        <v>258.0</v>
      </c>
      <c r="D280" s="9">
        <v>300.0</v>
      </c>
      <c r="E280" s="9">
        <v>3.0</v>
      </c>
      <c r="F280" s="3">
        <f t="shared" si="1"/>
        <v>1.5</v>
      </c>
      <c r="G280" s="6" t="s">
        <v>582</v>
      </c>
      <c r="H280" s="7" t="str">
        <f>IFERROR(__xludf.DUMMYFUNCTION("AI(""Write a short product description under 300 characters for "" &amp; A280 &amp; "" in the "" &amp; B280 &amp; "" category"")"),"Say goodbye to average ice cream and hello to a rich and creamy indulgence with Igloo Ice Cream Chocolate 1L. Made with premium quality cocoa, each scoop of this classic frozen treat offers a decadent, velvety texture that is perfect for sharing with frie"&amp;"nds and family.")</f>
        <v>Say goodbye to average ice cream and hello to a rich and creamy indulgence with Igloo Ice Cream Chocolate 1L. Made with premium quality cocoa, each scoop of this classic frozen treat offers a decadent, velvety texture that is perfect for sharing with friends and family.</v>
      </c>
    </row>
    <row r="281">
      <c r="A281" s="9" t="s">
        <v>583</v>
      </c>
      <c r="B281" s="9" t="s">
        <v>543</v>
      </c>
      <c r="C281" s="9">
        <v>340.0</v>
      </c>
      <c r="D281" s="9">
        <v>450.0</v>
      </c>
      <c r="E281" s="9">
        <v>2.0</v>
      </c>
      <c r="F281" s="3">
        <f t="shared" si="1"/>
        <v>1</v>
      </c>
      <c r="G281" s="6" t="s">
        <v>584</v>
      </c>
      <c r="H281" s="7" t="str">
        <f>IFERROR(__xludf.DUMMYFUNCTION("AI(""Write a short product description under 300 characters for "" &amp; A281 &amp; "" in the "" &amp; B281 &amp; "" category"")"),"Experience the rich, creamy delight of Igloo Firni 1L. This premium frozen dessert captures the essence of traditional rice pudding with a smooth ice cream texture and aromatic spices. Perfect for any celebration, it delivers an authentic and indulgent de"&amp;"ssert experience in every scoop.")</f>
        <v>Experience the rich, creamy delight of Igloo Firni 1L. This premium frozen dessert captures the essence of traditional rice pudding with a smooth ice cream texture and aromatic spices. Perfect for any celebration, it delivers an authentic and indulgent dessert experience in every scoop.</v>
      </c>
    </row>
    <row r="282">
      <c r="A282" s="9" t="s">
        <v>585</v>
      </c>
      <c r="B282" s="9" t="s">
        <v>543</v>
      </c>
      <c r="C282" s="9">
        <v>340.0</v>
      </c>
      <c r="D282" s="9">
        <v>450.0</v>
      </c>
      <c r="E282" s="9">
        <v>2.0</v>
      </c>
      <c r="F282" s="3">
        <f t="shared" si="1"/>
        <v>1</v>
      </c>
      <c r="G282" s="6" t="s">
        <v>586</v>
      </c>
      <c r="H282" s="7" t="str">
        <f>IFERROR(__xludf.DUMMYFUNCTION("AI(""Write a short product description under 300 characters for "" &amp; A282 &amp; "" in the "" &amp; B282 &amp; "" category"")"),"Savor the rich and creamy taste of Igloo Doi 1L. This premium sweet yogurt is crafted with a smooth, velvety texture and authentic traditional flavor. Perfect as a refreshing dessert or a chilled treat, it offers a delightful touch of sweetness to every m"&amp;"eal. Quality goodness in every scoop.")</f>
        <v>Savor the rich and creamy taste of Igloo Doi 1L. This premium sweet yogurt is crafted with a smooth, velvety texture and authentic traditional flavor. Perfect as a refreshing dessert or a chilled treat, it offers a delightful touch of sweetness to every meal. Quality goodness in every scoop.</v>
      </c>
    </row>
    <row r="283">
      <c r="A283" s="9" t="s">
        <v>587</v>
      </c>
      <c r="B283" s="9" t="s">
        <v>543</v>
      </c>
      <c r="C283" s="9">
        <v>425.0</v>
      </c>
      <c r="D283" s="9">
        <v>500.0</v>
      </c>
      <c r="E283" s="9">
        <v>2.0</v>
      </c>
      <c r="F283" s="3">
        <f t="shared" si="1"/>
        <v>1</v>
      </c>
      <c r="G283" s="6" t="s">
        <v>588</v>
      </c>
      <c r="H283" s="7" t="str">
        <f>IFERROR(__xludf.DUMMYFUNCTION("AI(""Write a short product description under 300 characters for "" &amp; A283 &amp; "" in the "" &amp; B283 &amp; "" category"")"),"Indulge in the rich and creamy taste of Igloo French Vanilla Ice Cream. This 1L tub offers a smooth, classic vanilla flavor that is perfect for sharing with friends and family. Enjoy a premium, delightful frozen treat that brings joy to every scoop. Perfe"&amp;"ct for any occasion.")</f>
        <v>Indulge in the rich and creamy taste of Igloo French Vanilla Ice Cream. This 1L tub offers a smooth, classic vanilla flavor that is perfect for sharing with friends and family. Enjoy a premium, delightful frozen treat that brings joy to every scoop. Perfect for any occasion.</v>
      </c>
    </row>
    <row r="284">
      <c r="A284" s="9" t="s">
        <v>589</v>
      </c>
      <c r="B284" s="9" t="s">
        <v>543</v>
      </c>
      <c r="C284" s="9">
        <v>300.0</v>
      </c>
      <c r="D284" s="9">
        <v>350.0</v>
      </c>
      <c r="E284" s="9">
        <v>2.0</v>
      </c>
      <c r="F284" s="3">
        <f t="shared" si="1"/>
        <v>1</v>
      </c>
      <c r="G284" s="6" t="s">
        <v>590</v>
      </c>
      <c r="H284" s="7" t="str">
        <f>IFERROR(__xludf.DUMMYFUNCTION("AI(""Write a short product description under 300 characters for "" &amp; A284 &amp; "" in the "" &amp; B284 &amp; "" category"")"),"Experience the luscious blend of vanilla and mango with Igloo Mango Melody Double Sundae. This 1L tub of creamy goodness is topped with colorful decorations, offering a refreshing and fruity treat to share with friends and family. Enjoy a symphony of flav"&amp;"ors in every delightful scoop.")</f>
        <v>Experience the luscious blend of vanilla and mango with Igloo Mango Melody Double Sundae. This 1L tub of creamy goodness is topped with colorful decorations, offering a refreshing and fruity treat to share with friends and family. Enjoy a symphony of flavors in every delightful scoop.</v>
      </c>
    </row>
    <row r="285">
      <c r="A285" s="9" t="s">
        <v>591</v>
      </c>
      <c r="B285" s="9" t="s">
        <v>543</v>
      </c>
      <c r="C285" s="9">
        <v>420.0</v>
      </c>
      <c r="D285" s="9">
        <v>500.0</v>
      </c>
      <c r="E285" s="9">
        <v>2.0</v>
      </c>
      <c r="F285" s="3">
        <f t="shared" si="1"/>
        <v>1</v>
      </c>
      <c r="G285" s="6" t="s">
        <v>592</v>
      </c>
      <c r="H285" s="7" t="str">
        <f>IFERROR(__xludf.DUMMYFUNCTION("AI(""Write a short product description under 300 characters for "" &amp; A285 &amp; "" in the "" &amp; B285 &amp; "" category"")"),"Indulge in the rich and creamy experience of Igloo Cake 1L. Made from premium ingredients, this delicious ice cream cake offers a perfect blend of flavors and a smooth texture that melts in your mouth. Ideal for birthdays, anniversaries, or satiating your"&amp;" sweet tooth any time.")</f>
        <v>Indulge in the rich and creamy experience of Igloo Cake 1L. Made from premium ingredients, this delicious ice cream cake offers a perfect blend of flavors and a smooth texture that melts in your mouth. Ideal for birthdays, anniversaries, or satiating your sweet tooth any time.</v>
      </c>
    </row>
    <row r="286">
      <c r="A286" s="9" t="s">
        <v>593</v>
      </c>
      <c r="B286" s="9" t="s">
        <v>196</v>
      </c>
      <c r="C286" s="9">
        <v>40.0</v>
      </c>
      <c r="D286" s="9">
        <v>80.0</v>
      </c>
      <c r="E286" s="9">
        <v>2.0</v>
      </c>
      <c r="F286" s="3">
        <f t="shared" si="1"/>
        <v>1</v>
      </c>
      <c r="G286" s="6" t="s">
        <v>594</v>
      </c>
      <c r="H286" s="7" t="str">
        <f>IFERROR(__xludf.DUMMYFUNCTION("AI(""Write a short product description under 300 characters for "" &amp; A286 &amp; "" in the "" &amp; B286 &amp; "" category"")"),"Achieve the perfect rise in all your cakes, muffins, and pastries with Maltova Baking Powder 100g. This essential cooking staple ensures light, airy, and fluffy textures every time. Ideal for a variety of baked goods, it delivers consistent, reliable resu"&amp;"lts for all your kitchen creations.")</f>
        <v>Achieve the perfect rise in all your cakes, muffins, and pastries with Maltova Baking Powder 100g. This essential cooking staple ensures light, airy, and fluffy textures every time. Ideal for a variety of baked goods, it delivers consistent, reliable results for all your kitchen creations.</v>
      </c>
    </row>
    <row r="287">
      <c r="A287" s="9" t="s">
        <v>595</v>
      </c>
      <c r="B287" s="9" t="s">
        <v>196</v>
      </c>
      <c r="C287" s="9">
        <v>80.0</v>
      </c>
      <c r="D287" s="9">
        <v>160.0</v>
      </c>
      <c r="E287" s="9">
        <v>2.0</v>
      </c>
      <c r="F287" s="3">
        <f t="shared" si="1"/>
        <v>1</v>
      </c>
      <c r="G287" s="6" t="s">
        <v>596</v>
      </c>
      <c r="H287" s="7" t="str">
        <f>IFERROR(__xludf.DUMMYFUNCTION("AI(""Write a short product description under 300 characters for "" &amp; A287 &amp; "" in the "" &amp; B287 &amp; "" category"")"),"Haiko Agar Agar 20g is a premium, plant-based gelling agent derived from red seaweed. A perfect vegan substitute for gelatin, this odorless and tasteless powder is ideal for creating firm jellies, puddings, and custards. Versatile and gluten-free, it is a"&amp;" must-have for healthy home cooking.")</f>
        <v>Haiko Agar Agar 20g is a premium, plant-based gelling agent derived from red seaweed. A perfect vegan substitute for gelatin, this odorless and tasteless powder is ideal for creating firm jellies, puddings, and custards. Versatile and gluten-free, it is a must-have for healthy home cooking.</v>
      </c>
    </row>
    <row r="288">
      <c r="A288" s="9" t="s">
        <v>597</v>
      </c>
      <c r="B288" s="9" t="s">
        <v>196</v>
      </c>
      <c r="C288" s="9">
        <v>30.0</v>
      </c>
      <c r="D288" s="9">
        <v>40.0</v>
      </c>
      <c r="E288" s="9">
        <v>2.0</v>
      </c>
      <c r="F288" s="3">
        <f t="shared" si="1"/>
        <v>1</v>
      </c>
      <c r="G288" s="6" t="s">
        <v>598</v>
      </c>
      <c r="H288" s="7" t="str">
        <f>IFERROR(__xludf.DUMMYFUNCTION("AI(""Write a short product description under 300 characters for "" &amp; A288 &amp; "" in the "" &amp; B288 &amp; "" category"")"),"Elevate your culinary creations with Regard Keora Water. Distilled from premium pandanus flowers, this aromatic floral essence adds a sweet, musky fragrance to biryanis, pulaos, and traditional desserts like kheer and gulab jamun. A staple for authentic S"&amp;"outh Asian cooking in a 200ml glass bottle.")</f>
        <v>Elevate your culinary creations with Regard Keora Water. Distilled from premium pandanus flowers, this aromatic floral essence adds a sweet, musky fragrance to biryanis, pulaos, and traditional desserts like kheer and gulab jamun. A staple for authentic South Asian cooking in a 200ml glass bottle.</v>
      </c>
    </row>
    <row r="289">
      <c r="A289" s="9" t="s">
        <v>599</v>
      </c>
      <c r="B289" s="9" t="s">
        <v>196</v>
      </c>
      <c r="C289" s="9">
        <v>155.0</v>
      </c>
      <c r="D289" s="9">
        <v>240.0</v>
      </c>
      <c r="E289" s="9">
        <v>2.0</v>
      </c>
      <c r="F289" s="3">
        <f t="shared" si="1"/>
        <v>1</v>
      </c>
      <c r="G289" s="6" t="s">
        <v>600</v>
      </c>
      <c r="H289" s="7" t="str">
        <f>IFERROR(__xludf.DUMMYFUNCTION("AI(""Write a short product description under 300 characters for "" &amp; A289 &amp; "" in the "" &amp; B289 &amp; "" category"")"),"Dano Sterilized Cream 160g is a rich and versatile dairy product perfect for cooking and baking. Made from fresh milk, its smooth texture and long shelf life make it ideal for enhancing the creaminess of curries, desserts, and soups. A trusted choice for "&amp;"adding a velvety finish to any dish.")</f>
        <v>Dano Sterilized Cream 160g is a rich and versatile dairy product perfect for cooking and baking. Made from fresh milk, its smooth texture and long shelf life make it ideal for enhancing the creaminess of curries, desserts, and soups. A trusted choice for adding a velvety finish to any dish.</v>
      </c>
    </row>
    <row r="290">
      <c r="A290" s="9" t="s">
        <v>601</v>
      </c>
      <c r="B290" s="9" t="s">
        <v>254</v>
      </c>
      <c r="C290" s="9">
        <v>120.0</v>
      </c>
      <c r="D290" s="9">
        <v>220.0</v>
      </c>
      <c r="E290" s="9">
        <v>2.0</v>
      </c>
      <c r="F290" s="3">
        <f t="shared" si="1"/>
        <v>1</v>
      </c>
      <c r="G290" s="6" t="s">
        <v>602</v>
      </c>
      <c r="H290" s="7" t="str">
        <f>IFERROR(__xludf.DUMMYFUNCTION("AI(""Write a short product description under 300 characters for "" &amp; A290 &amp; "" in the "" &amp; B290 &amp; "" category"")"),"Indulge in the Mars Triple Treat Fruit &amp; Nut bar. This 32g snack features a chewy blend of date paste, raisins, and peanuts topped with soft fudge pieces, all dipped and drizzled in smooth milk chocolate. High in fiber and suitable for vegetarians, it is "&amp;"the perfect on-the-go treat.")</f>
        <v>Indulge in the Mars Triple Treat Fruit &amp; Nut bar. This 32g snack features a chewy blend of date paste, raisins, and peanuts topped with soft fudge pieces, all dipped and drizzled in smooth milk chocolate. High in fiber and suitable for vegetarians, it is the perfect on-the-go treat.</v>
      </c>
    </row>
    <row r="291">
      <c r="A291" s="9" t="s">
        <v>603</v>
      </c>
      <c r="B291" s="9" t="s">
        <v>254</v>
      </c>
      <c r="C291" s="9">
        <v>120.0</v>
      </c>
      <c r="D291" s="9">
        <v>220.0</v>
      </c>
      <c r="E291" s="9">
        <v>2.0</v>
      </c>
      <c r="F291" s="3">
        <f t="shared" si="1"/>
        <v>1</v>
      </c>
      <c r="G291" s="6" t="s">
        <v>604</v>
      </c>
      <c r="H291" s="7" t="str">
        <f>IFERROR(__xludf.DUMMYFUNCTION("AI(""Write a short product description under 300 characters for "" &amp; A291 &amp; "" in the "" &amp; B291 &amp; "" category"")"),"Enjoy a delicious twist on the classic with Snickers Fruit &amp; Nut. This 32g bar is packed with crunchy peanuts, chewy raisins, and smooth caramel, all coated in rich milk chocolate. It is the perfect snack to satisfy your hunger and sweet cravings with a t"&amp;"riple treat of flavor and texture.")</f>
        <v>Enjoy a delicious twist on the classic with Snickers Fruit &amp; Nut. This 32g bar is packed with crunchy peanuts, chewy raisins, and smooth caramel, all coated in rich milk chocolate. It is the perfect snack to satisfy your hunger and sweet cravings with a triple treat of flavor and texture.</v>
      </c>
    </row>
    <row r="292">
      <c r="A292" s="9" t="s">
        <v>605</v>
      </c>
      <c r="B292" s="9" t="s">
        <v>41</v>
      </c>
      <c r="C292" s="9">
        <v>195.0</v>
      </c>
      <c r="D292" s="9">
        <v>220.0</v>
      </c>
      <c r="E292" s="9">
        <v>1.0</v>
      </c>
      <c r="F292" s="3">
        <f t="shared" si="1"/>
        <v>0.5</v>
      </c>
      <c r="G292" s="6" t="s">
        <v>606</v>
      </c>
      <c r="H292" s="7" t="str">
        <f>IFERROR(__xludf.DUMMYFUNCTION("AI(""Write a short product description under 300 characters for "" &amp; A292 &amp; "" in the "" &amp; B292 &amp; "" category"")"),"NIVEA Fresh Natural Roll On offers 48-hour odor protection with refreshing ocean extracts. This alcohol-free formula provides a long-lasting fresh feeling while being gentle on your skin. Dermatologically tested and suitable for all skin types, it keeps u"&amp;"nderarms clean and shower-fresh all day.")</f>
        <v>NIVEA Fresh Natural Roll On offers 48-hour odor protection with refreshing ocean extracts. This alcohol-free formula provides a long-lasting fresh feeling while being gentle on your skin. Dermatologically tested and suitable for all skin types, it keeps underarms clean and shower-fresh all day.</v>
      </c>
    </row>
    <row r="293">
      <c r="A293" s="9" t="s">
        <v>607</v>
      </c>
      <c r="B293" s="9" t="s">
        <v>41</v>
      </c>
      <c r="C293" s="9">
        <v>160.0</v>
      </c>
      <c r="D293" s="9">
        <v>330.0</v>
      </c>
      <c r="E293" s="9">
        <v>1.0</v>
      </c>
      <c r="F293" s="3">
        <f t="shared" si="1"/>
        <v>0.5</v>
      </c>
      <c r="G293" s="6" t="s">
        <v>608</v>
      </c>
      <c r="H293" s="7" t="str">
        <f>IFERROR(__xludf.DUMMYFUNCTION("AI(""Write a short product description under 300 characters for "" &amp; A293 &amp; "" in the "" &amp; B293 &amp; "" category"")"),"Rexona Motionsense Advanced Brightening Roll On provides 48-hour sweat and odor protection. Enriched with sunflower seed oil, this alcohol-free formula brightens underarms in just 7 days while MotionSense technology releases freshness with every move. Der"&amp;"matologist tested and safe for skin.")</f>
        <v>Rexona Motionsense Advanced Brightening Roll On provides 48-hour sweat and odor protection. Enriched with sunflower seed oil, this alcohol-free formula brightens underarms in just 7 days while MotionSense technology releases freshness with every move. Dermatologist tested and safe for skin.</v>
      </c>
    </row>
    <row r="294">
      <c r="A294" s="9" t="s">
        <v>609</v>
      </c>
      <c r="B294" s="9" t="s">
        <v>41</v>
      </c>
      <c r="C294" s="9">
        <v>370.0</v>
      </c>
      <c r="D294" s="9">
        <v>450.0</v>
      </c>
      <c r="E294" s="9">
        <v>1.0</v>
      </c>
      <c r="F294" s="3">
        <f t="shared" si="1"/>
        <v>0.5</v>
      </c>
      <c r="G294" s="6" t="s">
        <v>610</v>
      </c>
      <c r="H294" s="7" t="str">
        <f>IFERROR(__xludf.DUMMYFUNCTION("AI(""Write a short product description under 300 characters for "" &amp; A294 &amp; "" in the "" &amp; B294 &amp; "" category"")"),"Smell effortlessly cool with Axe Black Deodorant Body Spray. Featuring a refined scent of frozen pear and cedarwood, this aluminum-free spray provides 48-hour odor protection. Perfect for the modern man, it delivers a subtle, sophisticated aroma to keep y"&amp;"ou fresh and confident all day.")</f>
        <v>Smell effortlessly cool with Axe Black Deodorant Body Spray. Featuring a refined scent of frozen pear and cedarwood, this aluminum-free spray provides 48-hour odor protection. Perfect for the modern man, it delivers a subtle, sophisticated aroma to keep you fresh and confident all day.</v>
      </c>
    </row>
    <row r="295">
      <c r="A295" s="9" t="s">
        <v>611</v>
      </c>
      <c r="B295" s="9" t="s">
        <v>41</v>
      </c>
      <c r="C295" s="9">
        <v>370.0</v>
      </c>
      <c r="D295" s="9">
        <v>450.0</v>
      </c>
      <c r="E295" s="9">
        <v>1.0</v>
      </c>
      <c r="F295" s="3">
        <f t="shared" si="1"/>
        <v>0.5</v>
      </c>
      <c r="G295" s="6" t="s">
        <v>612</v>
      </c>
      <c r="H295" s="7" t="str">
        <f>IFERROR(__xludf.DUMMYFUNCTION("AI(""Write a short product description under 300 characters for "" &amp; A295 &amp; "" in the "" &amp; B295 &amp; "" category"")"),"Elevate your daily routine with AXE Apollo Deodorant Body Spray. Featuring a bold and fresh scent of sage and cedarwood, this aluminum-free spray provides 48-hour odor protection. Stay confident and smell irresistible all day with this iconic, long-lastin"&amp;"g fragrance.")</f>
        <v>Elevate your daily routine with AXE Apollo Deodorant Body Spray. Featuring a bold and fresh scent of sage and cedarwood, this aluminum-free spray provides 48-hour odor protection. Stay confident and smell irresistible all day with this iconic, long-lasting fragrance.</v>
      </c>
    </row>
    <row r="296">
      <c r="A296" s="9" t="s">
        <v>613</v>
      </c>
      <c r="B296" s="9" t="s">
        <v>196</v>
      </c>
      <c r="C296" s="9">
        <v>45.0</v>
      </c>
      <c r="D296" s="9">
        <v>80.0</v>
      </c>
      <c r="E296" s="9">
        <v>2.0</v>
      </c>
      <c r="F296" s="3">
        <f t="shared" si="1"/>
        <v>1</v>
      </c>
      <c r="G296" s="6" t="s">
        <v>614</v>
      </c>
      <c r="H296" s="7" t="str">
        <f>IFERROR(__xludf.DUMMYFUNCTION("AI(""Write a short product description under 300 characters for "" &amp; A296 &amp; "" in the "" &amp; B296 &amp; "" category"")"),"Add a vibrant crimson color and mild, earthy sweetness to your dishes with our 15g Paprika Powder. This versatile spice is essential for authentic goulash, deviled eggs, and meat rubs. Rich in antioxidants and vitamin A, it’s a nutritious staple for every"&amp;" kitchen.")</f>
        <v>Add a vibrant crimson color and mild, earthy sweetness to your dishes with our 15g Paprika Powder. This versatile spice is essential for authentic goulash, deviled eggs, and meat rubs. Rich in antioxidants and vitamin A, it’s a nutritious staple for every kitchen.</v>
      </c>
    </row>
    <row r="297">
      <c r="A297" s="9" t="s">
        <v>615</v>
      </c>
      <c r="B297" s="9" t="s">
        <v>616</v>
      </c>
      <c r="C297" s="9">
        <v>35.0</v>
      </c>
      <c r="D297" s="9">
        <v>45.0</v>
      </c>
      <c r="E297" s="9">
        <v>2.0</v>
      </c>
      <c r="F297" s="3">
        <f t="shared" si="1"/>
        <v>1</v>
      </c>
      <c r="G297" s="6" t="s">
        <v>617</v>
      </c>
      <c r="H297" s="7" t="str">
        <f>IFERROR(__xludf.DUMMYFUNCTION("AI(""Write a short product description under 300 characters for "" &amp; A297 &amp; "" in the "" &amp; B297 &amp; "" category"")"),"Vim Jumbo Size Steel Scourer offers powerful cleaning for tough stains. Made from durable stainless steel, these large-sized scourers effectively remove burnt-on food and grease from pots, pans, and grills. This 2-pack bundle ensures long-lasting, rust-fr"&amp;"ee performance for heavy-duty kitchen tasks.")</f>
        <v>Vim Jumbo Size Steel Scourer offers powerful cleaning for tough stains. Made from durable stainless steel, these large-sized scourers effectively remove burnt-on food and grease from pots, pans, and grills. This 2-pack bundle ensures long-lasting, rust-free performance for heavy-duty kitchen tasks.</v>
      </c>
    </row>
    <row r="298">
      <c r="A298" s="9" t="s">
        <v>618</v>
      </c>
      <c r="B298" s="9" t="s">
        <v>501</v>
      </c>
      <c r="C298" s="9">
        <v>400.0</v>
      </c>
      <c r="D298" s="9">
        <v>500.0</v>
      </c>
      <c r="E298" s="9">
        <v>2.0</v>
      </c>
      <c r="F298" s="3">
        <f t="shared" si="1"/>
        <v>1</v>
      </c>
      <c r="G298" s="6" t="s">
        <v>619</v>
      </c>
      <c r="H298" s="7" t="str">
        <f>IFERROR(__xludf.DUMMYFUNCTION("AI(""Write a short product description under 300 characters for "" &amp; A298 &amp; "" in the "" &amp; B298 &amp; "" category"")"),"Protect your baby’s skin with Pampers Sensitive Fragrance Free Baby Wipes. These thick, soft, and hypoallergenic wipes are clinically proven for sensitive skin. Free of alcohol, parabens, and latex, they help restore natural pH levels for a gentle, dermat"&amp;"ologist-approved clean in every wipe.")</f>
        <v>Protect your baby’s skin with Pampers Sensitive Fragrance Free Baby Wipes. These thick, soft, and hypoallergenic wipes are clinically proven for sensitive skin. Free of alcohol, parabens, and latex, they help restore natural pH levels for a gentle, dermatologist-approved clean in every wipe.</v>
      </c>
    </row>
    <row r="299">
      <c r="A299" s="9" t="s">
        <v>620</v>
      </c>
      <c r="B299" s="9" t="s">
        <v>134</v>
      </c>
      <c r="C299" s="9">
        <v>600.0</v>
      </c>
      <c r="D299" s="9">
        <v>1000.0</v>
      </c>
      <c r="E299" s="9">
        <v>2.0</v>
      </c>
      <c r="F299" s="3">
        <f t="shared" si="1"/>
        <v>1</v>
      </c>
      <c r="G299" s="6" t="s">
        <v>621</v>
      </c>
      <c r="H299" s="7" t="str">
        <f>IFERROR(__xludf.DUMMYFUNCTION("AI(""Write a short product description under 300 characters for "" &amp; A299 &amp; "" in the "" &amp; B299 &amp; "" category"")"),"Indulge in premium Mabroom Dates, known for their long shape, chewy texture, and rich caramel flavor. Sourced from Saudi Arabia, this 500g pack of 100% natural dates is rich in fiber and antioxidants, providing a healthy energy boost and essential nutrien"&amp;"ts in every bite.")</f>
        <v>Indulge in premium Mabroom Dates, known for their long shape, chewy texture, and rich caramel flavor. Sourced from Saudi Arabia, this 500g pack of 100% natural dates is rich in fiber and antioxidants, providing a healthy energy boost and essential nutrients in every bite.</v>
      </c>
    </row>
    <row r="300">
      <c r="A300" s="9" t="s">
        <v>622</v>
      </c>
      <c r="B300" s="9" t="s">
        <v>522</v>
      </c>
      <c r="C300" s="9">
        <v>65.0</v>
      </c>
      <c r="D300" s="9">
        <v>150.0</v>
      </c>
      <c r="E300" s="9">
        <v>1.0</v>
      </c>
      <c r="F300" s="3">
        <f t="shared" si="1"/>
        <v>0.5</v>
      </c>
      <c r="G300" s="6" t="s">
        <v>623</v>
      </c>
      <c r="H300" s="7" t="str">
        <f>IFERROR(__xludf.DUMMYFUNCTION("AI(""Write a short product description under 300 characters for "" &amp; A300 &amp; "" in the "" &amp; B300 &amp; "" category"")"),"Experience rapid charging with the Movilcell M15 Type-C Cable. Featuring a high-power 5A output, this durable cable ensures fast and efficient power delivery for your electronic devices. Its high-quality design supports both speedy charging and reliable d"&amp;"ata sync for all Type-C compatible gear.")</f>
        <v>Experience rapid charging with the Movilcell M15 Type-C Cable. Featuring a high-power 5A output, this durable cable ensures fast and efficient power delivery for your electronic devices. Its high-quality design supports both speedy charging and reliable data sync for all Type-C compatible gear.</v>
      </c>
    </row>
    <row r="301">
      <c r="A301" s="9" t="s">
        <v>624</v>
      </c>
      <c r="B301" s="9" t="s">
        <v>522</v>
      </c>
      <c r="C301" s="9">
        <v>215.0</v>
      </c>
      <c r="D301" s="9">
        <v>380.0</v>
      </c>
      <c r="E301" s="9">
        <v>1.0</v>
      </c>
      <c r="F301" s="3">
        <f t="shared" si="1"/>
        <v>0.5</v>
      </c>
      <c r="G301" s="6" t="s">
        <v>625</v>
      </c>
      <c r="H301" s="7" t="str">
        <f>IFERROR(__xludf.DUMMYFUNCTION("AI(""Write a short product description under 300 characters for "" &amp; A301 &amp; "" in the "" &amp; B301 &amp; "" category"")"),"Power up your device with the MI 18W Quick Charger 3.0. Utilizing Qualcomm technology, this high-quality power adapter delivers fast and efficient charging. Equipped with safety protections against over-charging and short circuits, it is a compact and rel"&amp;"iable solution for your charging needs.")</f>
        <v>Power up your device with the MI 18W Quick Charger 3.0. Utilizing Qualcomm technology, this high-quality power adapter delivers fast and efficient charging. Equipped with safety protections against over-charging and short circuits, it is a compact and reliable solution for your charging needs.</v>
      </c>
    </row>
    <row r="302">
      <c r="A302" s="9" t="s">
        <v>626</v>
      </c>
      <c r="B302" s="9" t="s">
        <v>522</v>
      </c>
      <c r="C302" s="9">
        <v>160.0</v>
      </c>
      <c r="D302" s="9">
        <v>290.0</v>
      </c>
      <c r="E302" s="9">
        <v>1.0</v>
      </c>
      <c r="F302" s="3">
        <f t="shared" si="1"/>
        <v>0.5</v>
      </c>
      <c r="G302" s="6" t="s">
        <v>627</v>
      </c>
      <c r="H302" s="7" t="str">
        <f>IFERROR(__xludf.DUMMYFUNCTION("AI(""Write a short product description under 300 characters for "" &amp; A302 &amp; "" in the "" &amp; B302 &amp; "" category"")"),"The Safe Touch 0032 is a heavy-duty multiplug featuring 5 ports and a 2m high-quality copper cable. Built with a fire-proof plastic body, it includes a power switch and indicator light for safe, reliable use. Perfect for home or office electronics requiri"&amp;"ng durable extension power.")</f>
        <v>The Safe Touch 0032 is a heavy-duty multiplug featuring 5 ports and a 2m high-quality copper cable. Built with a fire-proof plastic body, it includes a power switch and indicator light for safe, reliable use. Perfect for home or office electronics requiring durable extension power.</v>
      </c>
    </row>
    <row r="303">
      <c r="A303" s="9" t="s">
        <v>628</v>
      </c>
      <c r="B303" s="9" t="s">
        <v>522</v>
      </c>
      <c r="C303" s="9">
        <v>195.0</v>
      </c>
      <c r="D303" s="9">
        <v>220.0</v>
      </c>
      <c r="E303" s="9">
        <v>2.0</v>
      </c>
      <c r="F303" s="3">
        <f t="shared" si="1"/>
        <v>1</v>
      </c>
      <c r="G303" s="6" t="s">
        <v>629</v>
      </c>
      <c r="H303" s="7" t="str">
        <f>IFERROR(__xludf.DUMMYFUNCTION("AI(""Write a short product description under 300 characters for "" &amp; A303 &amp; "" in the "" &amp; B303 &amp; "" category"")"),"The Safe Touch 0034 is a heavy-duty 4-port multiplug featuring a 5m copper cable and a fireproof body. Built with Safe Touch technology for enhanced shock protection, it includes a power switch and indicator light, providing a reliable and safe power exte"&amp;"nsion for your electronic devices.")</f>
        <v>The Safe Touch 0034 is a heavy-duty 4-port multiplug featuring a 5m copper cable and a fireproof body. Built with Safe Touch technology for enhanced shock protection, it includes a power switch and indicator light, providing a reliable and safe power extension for your electronic devices.</v>
      </c>
    </row>
    <row r="304">
      <c r="A304" s="9" t="s">
        <v>630</v>
      </c>
      <c r="B304" s="9" t="s">
        <v>522</v>
      </c>
      <c r="C304" s="9">
        <v>215.0</v>
      </c>
      <c r="D304" s="9">
        <v>250.0</v>
      </c>
      <c r="E304" s="9">
        <v>1.0</v>
      </c>
      <c r="F304" s="3">
        <f t="shared" si="1"/>
        <v>0.5</v>
      </c>
      <c r="G304" s="6" t="s">
        <v>631</v>
      </c>
      <c r="H304" s="7" t="str">
        <f>IFERROR(__xludf.DUMMYFUNCTION("AI(""Write a short product description under 300 characters for "" &amp; A304 &amp; "" in the "" &amp; B304 &amp; "" category"")"),"The Safe Touch 0032 Heavy Duty Multiplug features 5 ports and a generous 5m cable for versatile reach. Built for durability, it includes high-quality copper wiring and a fireproof body, providing a reliable and safe power hub for home or office electronic"&amp;"s.")</f>
        <v>The Safe Touch 0032 Heavy Duty Multiplug features 5 ports and a generous 5m cable for versatile reach. Built for durability, it includes high-quality copper wiring and a fireproof body, providing a reliable and safe power hub for home or office electronics.</v>
      </c>
    </row>
    <row r="305">
      <c r="A305" s="9" t="s">
        <v>632</v>
      </c>
      <c r="B305" s="9" t="s">
        <v>41</v>
      </c>
      <c r="C305" s="9">
        <v>145.0</v>
      </c>
      <c r="D305" s="9">
        <v>170.0</v>
      </c>
      <c r="E305" s="9">
        <v>1.0</v>
      </c>
      <c r="F305" s="3">
        <f t="shared" si="1"/>
        <v>0.5</v>
      </c>
      <c r="G305" s="6" t="s">
        <v>633</v>
      </c>
      <c r="H305" s="7" t="str">
        <f>IFERROR(__xludf.DUMMYFUNCTION("AI(""Write a short product description under 300 characters for "" &amp; A305 &amp; "" in the "" &amp; B305 &amp; "" category"")"),"Specially designed for children 0.5 years and up, Kodomo Toothpaste Orange Cream (40g) features a kid-friendly flavor. This sugar-free formula uses active fluoride and xylitol to provide dual protection against cavities and plaque while strengthening enam"&amp;"el for a healthy smile.")</f>
        <v>Specially designed for children 0.5 years and up, Kodomo Toothpaste Orange Cream (40g) features a kid-friendly flavor. This sugar-free formula uses active fluoride and xylitol to provide dual protection against cavities and plaque while strengthening enamel for a healthy smile.</v>
      </c>
    </row>
    <row r="306">
      <c r="A306" s="9" t="s">
        <v>634</v>
      </c>
      <c r="B306" s="9" t="s">
        <v>9</v>
      </c>
      <c r="C306" s="9">
        <v>530.0</v>
      </c>
      <c r="D306" s="9">
        <v>900.0</v>
      </c>
      <c r="E306" s="9">
        <v>1.0</v>
      </c>
      <c r="F306" s="3">
        <f t="shared" si="1"/>
        <v>0.5</v>
      </c>
      <c r="G306" s="6" t="s">
        <v>635</v>
      </c>
      <c r="H306" s="7" t="str">
        <f>IFERROR(__xludf.DUMMYFUNCTION("AI(""Write a short product description under 300 characters for "" &amp; A306 &amp; "" in the "" &amp; B306 &amp; "" category"")"),"Enjoy the smooth and refreshing taste of Twinings Pure Green Tea. This light-bodied, aromatic blend is naturally rich in antioxidants and offers a delicate, fresh flavor. Each 50g box contains 25 individually wrapped tea bags, perfect for a revitalizing h"&amp;"ot brew or a crisp iced tea.")</f>
        <v>Enjoy the smooth and refreshing taste of Twinings Pure Green Tea. This light-bodied, aromatic blend is naturally rich in antioxidants and offers a delicate, fresh flavor. Each 50g box contains 25 individually wrapped tea bags, perfect for a revitalizing hot brew or a crisp iced tea.</v>
      </c>
    </row>
    <row r="307">
      <c r="A307" s="9" t="s">
        <v>636</v>
      </c>
      <c r="B307" s="9" t="s">
        <v>9</v>
      </c>
      <c r="C307" s="9">
        <v>530.0</v>
      </c>
      <c r="D307" s="9">
        <v>900.0</v>
      </c>
      <c r="E307" s="9">
        <v>1.0</v>
      </c>
      <c r="F307" s="3">
        <f t="shared" si="1"/>
        <v>0.5</v>
      </c>
      <c r="G307" s="6" t="s">
        <v>637</v>
      </c>
      <c r="H307" s="7" t="str">
        <f>IFERROR(__xludf.DUMMYFUNCTION("AI(""Write a short product description under 300 characters for "" &amp; A307 &amp; "" in the "" &amp; B307 &amp; "" category"")"),"Indulge in the spicy yet soothing blend of Twinings Green Tea and Ginger. Combining delicate green tea with punchy ginger root and lemongrass, these all-natural tea bags offer a nutty, fragrant aroma. Perfect for a refreshing hot brew or a crisp iced tea "&amp;"to revitalize your day.")</f>
        <v>Indulge in the spicy yet soothing blend of Twinings Green Tea and Ginger. Combining delicate green tea with punchy ginger root and lemongrass, these all-natural tea bags offer a nutty, fragrant aroma. Perfect for a refreshing hot brew or a crisp iced tea to revitalize your day.</v>
      </c>
    </row>
    <row r="308">
      <c r="A308" s="9" t="s">
        <v>638</v>
      </c>
      <c r="B308" s="9" t="s">
        <v>9</v>
      </c>
      <c r="C308" s="9">
        <v>265.0</v>
      </c>
      <c r="D308" s="9">
        <v>310.0</v>
      </c>
      <c r="E308" s="9">
        <v>1.0</v>
      </c>
      <c r="F308" s="3">
        <f t="shared" si="1"/>
        <v>0.5</v>
      </c>
      <c r="G308" s="6" t="s">
        <v>639</v>
      </c>
      <c r="H308" s="7" t="str">
        <f>IFERROR(__xludf.DUMMYFUNCTION("AI(""Write a short product description under 300 characters for "" &amp; A308 &amp; "" in the "" &amp; B308 &amp; "" category"")"),"Ispahani Blender's Choice Premium Black Tea is an exceptional blend of world-class Bangladeshi and African tea leaves. This 400g pack offers a rich, full-bodied flavor and sensational aroma, perfect for tea connoisseurs seeking a refreshing and energizing"&amp;" elite tea experience.")</f>
        <v>Ispahani Blender's Choice Premium Black Tea is an exceptional blend of world-class Bangladeshi and African tea leaves. This 400g pack offers a rich, full-bodied flavor and sensational aroma, perfect for tea connoisseurs seeking a refreshing and energizing elite tea experience.</v>
      </c>
    </row>
    <row r="309">
      <c r="A309" s="9" t="s">
        <v>640</v>
      </c>
      <c r="B309" s="9" t="s">
        <v>9</v>
      </c>
      <c r="C309" s="9">
        <v>530.0</v>
      </c>
      <c r="D309" s="9">
        <v>900.0</v>
      </c>
      <c r="E309" s="9">
        <v>1.0</v>
      </c>
      <c r="F309" s="3">
        <f t="shared" si="1"/>
        <v>0.5</v>
      </c>
      <c r="G309" s="6" t="s">
        <v>641</v>
      </c>
      <c r="H309" s="7" t="str">
        <f>IFERROR(__xludf.DUMMYFUNCTION("AI(""Write a short product description under 300 characters for "" &amp; A309 &amp; "" in the "" &amp; B309 &amp; "" category"")"),"Indulge in the delicate blend of premium green tea infused with real jasmine flowers for a unique floral aroma and subtly sweet taste. This pack of 25 individually wrapped tea bags delivers a light, refreshing, and revitalizing brew perfect for any time o"&amp;"f day.")</f>
        <v>Indulge in the delicate blend of premium green tea infused with real jasmine flowers for a unique floral aroma and subtly sweet taste. This pack of 25 individually wrapped tea bags delivers a light, refreshing, and revitalizing brew perfect for any time of day.</v>
      </c>
    </row>
    <row r="310">
      <c r="A310" s="9" t="s">
        <v>642</v>
      </c>
      <c r="B310" s="9" t="s">
        <v>26</v>
      </c>
      <c r="C310" s="9">
        <v>70.0</v>
      </c>
      <c r="D310" s="9">
        <v>100.0</v>
      </c>
      <c r="E310" s="9">
        <v>2.0</v>
      </c>
      <c r="F310" s="3">
        <f t="shared" si="1"/>
        <v>1</v>
      </c>
      <c r="G310" s="6" t="s">
        <v>643</v>
      </c>
      <c r="H310" s="7" t="str">
        <f>IFERROR(__xludf.DUMMYFUNCTION("AI(""Write a short product description under 300 characters for "" &amp; A310 &amp; "" in the "" &amp; B310 &amp; "" category"")"),"Protect your home from mosquitoes with Patabahar Coil. This effective 1-pack pest control solution burns slowly to release a repelling smoke that keeps flying insects at bay for hours. Perfect for outdoor use on patios or during camping to ensure a peacef"&amp;"ul, bite-free environment.")</f>
        <v>Protect your home from mosquitoes with Patabahar Coil. This effective 1-pack pest control solution burns slowly to release a repelling smoke that keeps flying insects at bay for hours. Perfect for outdoor use on patios or during camping to ensure a peaceful, bite-free environment.</v>
      </c>
    </row>
    <row r="311">
      <c r="A311" s="9" t="s">
        <v>644</v>
      </c>
      <c r="B311" s="9" t="s">
        <v>134</v>
      </c>
      <c r="C311" s="9">
        <v>150.0</v>
      </c>
      <c r="D311" s="9">
        <v>260.0</v>
      </c>
      <c r="E311" s="9">
        <v>1.0</v>
      </c>
      <c r="F311" s="3">
        <f t="shared" si="1"/>
        <v>0.5</v>
      </c>
      <c r="G311" s="6" t="s">
        <v>645</v>
      </c>
      <c r="H311" s="7" t="str">
        <f>IFERROR(__xludf.DUMMYFUNCTION("AI(""Write a short product description under 300 characters for "" &amp; A311 &amp; "" in the "" &amp; B311 &amp; "" category"")"),"Experience the perfect fusion of fiery spice and creamy comfort with Samyang Carbo Ramen. These chewy noodles are coated in a rich, velvety carbonara sauce that balances the iconic Buldak heat. Conveniently packed in an 80g cup, it’s a quick, indulgent sn"&amp;"ack ready in just minutes.")</f>
        <v>Experience the perfect fusion of fiery spice and creamy comfort with Samyang Carbo Ramen. These chewy noodles are coated in a rich, velvety carbonara sauce that balances the iconic Buldak heat. Conveniently packed in an 80g cup, it’s a quick, indulgent snack ready in just minutes.</v>
      </c>
    </row>
    <row r="312">
      <c r="A312" s="9" t="s">
        <v>646</v>
      </c>
      <c r="B312" s="9" t="s">
        <v>501</v>
      </c>
      <c r="C312" s="9">
        <v>845.0</v>
      </c>
      <c r="D312" s="9">
        <v>1100.0</v>
      </c>
      <c r="E312" s="9">
        <v>1.0</v>
      </c>
      <c r="F312" s="3">
        <f t="shared" si="1"/>
        <v>0.5</v>
      </c>
      <c r="G312" s="6" t="s">
        <v>647</v>
      </c>
      <c r="H312" s="7" t="str">
        <f>IFERROR(__xludf.DUMMYFUNCTION("AI(""Write a short product description under 300 characters for "" &amp; A312 &amp; "" in the "" &amp; B312 &amp; "" category"")"),"Avonee Large Pant Style Diapers (9-14kg) provide up to 12 hours of dryness and comfort for active toddlers. This 48-piece jumbo pack features a super-absorbent core and breathable materials for reliable leak protection, keeping your baby's sensitive skin "&amp;"fresh and rash-free.")</f>
        <v>Avonee Large Pant Style Diapers (9-14kg) provide up to 12 hours of dryness and comfort for active toddlers. This 48-piece jumbo pack features a super-absorbent core and breathable materials for reliable leak protection, keeping your baby's sensitive skin fresh and rash-free.</v>
      </c>
    </row>
    <row r="313">
      <c r="A313" s="9" t="s">
        <v>648</v>
      </c>
      <c r="B313" s="9" t="s">
        <v>127</v>
      </c>
      <c r="C313" s="9">
        <v>130.0</v>
      </c>
      <c r="D313" s="9">
        <v>270.0</v>
      </c>
      <c r="E313" s="9">
        <v>2.0</v>
      </c>
      <c r="F313" s="3">
        <f t="shared" si="1"/>
        <v>1</v>
      </c>
      <c r="G313" s="6" t="s">
        <v>649</v>
      </c>
      <c r="H313" s="7" t="str">
        <f>IFERROR(__xludf.DUMMYFUNCTION("AI(""Write a short product description under 300 characters for "" &amp; A313 &amp; "" in the "" &amp; B313 &amp; "" category"")"),"Dano Sterilized Cream 170g is a premium, thick dairy product perfect for cooking and baking. Directly imported from Denmark, this sterilized cream offers a long shelf life and rich texture, making it an ideal addition to desserts, soups, and savory currie"&amp;"s for a luxurious, creamy finish.")</f>
        <v>Dano Sterilized Cream 170g is a premium, thick dairy product perfect for cooking and baking. Directly imported from Denmark, this sterilized cream offers a long shelf life and rich texture, making it an ideal addition to desserts, soups, and savory curries for a luxurious, creamy finish.</v>
      </c>
    </row>
    <row r="314">
      <c r="A314" s="9" t="s">
        <v>650</v>
      </c>
      <c r="B314" s="9" t="s">
        <v>651</v>
      </c>
      <c r="C314" s="9">
        <v>80.0</v>
      </c>
      <c r="D314" s="9">
        <v>180.0</v>
      </c>
      <c r="E314" s="9">
        <v>4.0</v>
      </c>
      <c r="F314" s="3">
        <f t="shared" si="1"/>
        <v>2</v>
      </c>
      <c r="G314" s="6" t="s">
        <v>652</v>
      </c>
      <c r="H314" s="7" t="str">
        <f>IFERROR(__xludf.DUMMYFUNCTION("AI(""Write a short product description under 300 characters for "" &amp; A314 &amp; "" in the "" &amp; B314 &amp; "" category"")"),"Elevate your baking with Cadbury Cocoa Powder. Made from premium beans, this 125g pack delivers a rich, deep chocolate flavor and smooth texture. Perfect for cakes, brownies, cookies, and decadent hot chocolate, it’s a must-have ingredient for every baker"&amp;" and chocolate lover.")</f>
        <v>Elevate your baking with Cadbury Cocoa Powder. Made from premium beans, this 125g pack delivers a rich, deep chocolate flavor and smooth texture. Perfect for cakes, brownies, cookies, and decadent hot chocolate, it’s a must-have ingredient for every baker and chocolate lover.</v>
      </c>
    </row>
    <row r="315">
      <c r="A315" s="9" t="s">
        <v>653</v>
      </c>
      <c r="B315" s="9" t="s">
        <v>651</v>
      </c>
      <c r="C315" s="9">
        <v>105.0</v>
      </c>
      <c r="D315" s="9">
        <v>280.0</v>
      </c>
      <c r="E315" s="9">
        <v>2.0</v>
      </c>
      <c r="F315" s="3">
        <f t="shared" si="1"/>
        <v>1</v>
      </c>
      <c r="G315" s="6" t="s">
        <v>654</v>
      </c>
      <c r="H315" s="7" t="str">
        <f>IFERROR(__xludf.DUMMYFUNCTION("AI(""Write a short product description under 300 characters for "" &amp; A315 &amp; "" in the "" &amp; B315 &amp; "" category"")"),"Rayners Corn Flour 400g is a premium baking essential perfect for thickening soups, sauces, and gravies. This finely milled flour ensures a smooth consistency and is ideal for creating light, crispy coatings or soft baked goods. A versatile, gluten-free p"&amp;"antry staple for all your culinary needs.")</f>
        <v>Rayners Corn Flour 400g is a premium baking essential perfect for thickening soups, sauces, and gravies. This finely milled flour ensures a smooth consistency and is ideal for creating light, crispy coatings or soft baked goods. A versatile, gluten-free pantry staple for all your culinary needs.</v>
      </c>
    </row>
    <row r="316">
      <c r="A316" s="9" t="s">
        <v>655</v>
      </c>
      <c r="B316" s="9" t="s">
        <v>651</v>
      </c>
      <c r="C316" s="9">
        <v>340.0</v>
      </c>
      <c r="D316" s="9">
        <v>360.0</v>
      </c>
      <c r="E316" s="9">
        <v>1.0</v>
      </c>
      <c r="F316" s="3">
        <f t="shared" si="1"/>
        <v>0.5</v>
      </c>
      <c r="G316" s="6" t="s">
        <v>656</v>
      </c>
      <c r="H316" s="7" t="str">
        <f>IFERROR(__xludf.DUMMYFUNCTION("AI(""Write a short product description under 300 characters for "" &amp; A316 &amp; "" in the "" &amp; B316 &amp; "" category"")"),"Foster Clark's Baking Powder is your trusted ally for light and fluffy baked goods. This high-quality leavening agent ensures a perfect rise and airy texture for cakes, muffins, and biscuits. A kitchen staple for every home baker, it helps you achieve con"&amp;"sistent, bakery-style results every time.")</f>
        <v>Foster Clark's Baking Powder is your trusted ally for light and fluffy baked goods. This high-quality leavening agent ensures a perfect rise and airy texture for cakes, muffins, and biscuits. A kitchen staple for every home baker, it helps you achieve consistent, bakery-style results every time.</v>
      </c>
    </row>
    <row r="317">
      <c r="A317" s="9" t="s">
        <v>657</v>
      </c>
      <c r="B317" s="9" t="s">
        <v>254</v>
      </c>
      <c r="C317" s="9">
        <v>20.0</v>
      </c>
      <c r="D317" s="9">
        <v>30.0</v>
      </c>
      <c r="E317" s="9">
        <v>30.0</v>
      </c>
      <c r="F317" s="3">
        <f t="shared" si="1"/>
        <v>15</v>
      </c>
      <c r="G317" s="6" t="s">
        <v>658</v>
      </c>
      <c r="H317" s="7" t="str">
        <f>IFERROR(__xludf.DUMMYFUNCTION("AI(""Write a short product description under 300 characters for "" &amp; A317 &amp; "" in the "" &amp; B317 &amp; "" category"")"),"Enjoy a delicious assortment of Chupa Chups' most iconic flavors with this 72g bundle of 6 individually wrapped lollipops. Featuring favorites like Strawberry, Cola, and Watermelon, these world-famous treats offer a long-lasting, flavorful experience perf"&amp;"ect for snacking or sharing.")</f>
        <v>Enjoy a delicious assortment of Chupa Chups' most iconic flavors with this 72g bundle of 6 individually wrapped lollipops. Featuring favorites like Strawberry, Cola, and Watermelon, these world-famous treats offer a long-lasting, flavorful experience perfect for snacking or sharing.</v>
      </c>
    </row>
    <row r="318">
      <c r="A318" s="9" t="s">
        <v>659</v>
      </c>
      <c r="B318" s="9" t="s">
        <v>41</v>
      </c>
      <c r="C318" s="9">
        <v>160.0</v>
      </c>
      <c r="D318" s="9">
        <v>280.0</v>
      </c>
      <c r="E318" s="9">
        <v>2.0</v>
      </c>
      <c r="F318" s="3">
        <f t="shared" si="1"/>
        <v>1</v>
      </c>
      <c r="G318" s="6" t="s">
        <v>660</v>
      </c>
      <c r="H318" s="7" t="str">
        <f>IFERROR(__xludf.DUMMYFUNCTION("AI(""Write a short product description under 300 characters for "" &amp; A318 &amp; "" in the "" &amp; B318 &amp; "" category"")"),"Rexona Men Advanced Invisible Dry Roll On offers 72-hour non-stop protection against sweat and odor. Its advanced formula prevents white marks on black clothes and yellow stains on white fabrics. Stay fresh and confident all day with this powerful, anti-s"&amp;"tain antiperspirant for men.")</f>
        <v>Rexona Men Advanced Invisible Dry Roll On offers 72-hour non-stop protection against sweat and odor. Its advanced formula prevents white marks on black clothes and yellow stains on white fabrics. Stay fresh and confident all day with this powerful, anti-stain antiperspirant for men.</v>
      </c>
    </row>
    <row r="319">
      <c r="A319" s="9" t="s">
        <v>661</v>
      </c>
      <c r="B319" s="9" t="s">
        <v>86</v>
      </c>
      <c r="C319" s="9">
        <v>100.0</v>
      </c>
      <c r="D319" s="9">
        <v>200.0</v>
      </c>
      <c r="E319" s="9">
        <v>2.0</v>
      </c>
      <c r="F319" s="3">
        <f t="shared" si="1"/>
        <v>1</v>
      </c>
      <c r="G319" s="6" t="s">
        <v>662</v>
      </c>
      <c r="H319" s="7" t="str">
        <f>IFERROR(__xludf.DUMMYFUNCTION("AI(""Write a short product description under 300 characters for "" &amp; A319 &amp; "" in the "" &amp; B319 &amp; "" category"")"),"Kikkoman All Purpose Seasoning Soy Sauce is traditionally brewed for a rich, umami-packed flavor. This 1L bottle is perfect for marinating, stir-frying, or as a dipping sauce. Its balanced taste and reddish-brown color enhance any dish, from Asian classic"&amp;"s to everyday favorites. Sourced for quality.")</f>
        <v>Kikkoman All Purpose Seasoning Soy Sauce is traditionally brewed for a rich, umami-packed flavor. This 1L bottle is perfect for marinating, stir-frying, or as a dipping sauce. Its balanced taste and reddish-brown color enhance any dish, from Asian classics to everyday favorites. Sourced for quality.</v>
      </c>
    </row>
    <row r="320">
      <c r="A320" s="9" t="s">
        <v>663</v>
      </c>
      <c r="B320" s="9" t="s">
        <v>9</v>
      </c>
      <c r="C320" s="9">
        <v>100.0</v>
      </c>
      <c r="D320" s="9">
        <v>110.0</v>
      </c>
      <c r="E320" s="9">
        <v>1.0</v>
      </c>
      <c r="F320" s="3">
        <f t="shared" si="1"/>
        <v>0.5</v>
      </c>
      <c r="G320" s="6" t="s">
        <v>664</v>
      </c>
      <c r="H320" s="7" t="str">
        <f>IFERROR(__xludf.DUMMYFUNCTION("AI(""Write a short product description under 300 characters for "" &amp; A320 &amp; "" in the "" &amp; B320 &amp; "" category"")"),"Savor the exquisite taste of Ispahani Blender's Choice Premium Green Tea. Crafted from the finest leaves of high-elevation Chinese tea gardens, this 35g pack offers a delicate aroma and smooth flavor rich in natural antioxidants to refresh your mind and s"&amp;"upport your wellness journey.")</f>
        <v>Savor the exquisite taste of Ispahani Blender's Choice Premium Green Tea. Crafted from the finest leaves of high-elevation Chinese tea gardens, this 35g pack offers a delicate aroma and smooth flavor rich in natural antioxidants to refresh your mind and support your wellness journey.</v>
      </c>
    </row>
    <row r="321">
      <c r="A321" s="9" t="s">
        <v>665</v>
      </c>
      <c r="B321" s="9" t="s">
        <v>651</v>
      </c>
      <c r="C321" s="9">
        <v>30.0</v>
      </c>
      <c r="D321" s="9">
        <v>65.0</v>
      </c>
      <c r="E321" s="9">
        <v>1.0</v>
      </c>
      <c r="F321" s="3">
        <f t="shared" si="1"/>
        <v>0.5</v>
      </c>
      <c r="G321" s="6" t="s">
        <v>666</v>
      </c>
      <c r="H321" s="7" t="str">
        <f>IFERROR(__xludf.DUMMYFUNCTION("AI(""Write a short product description under 300 characters for "" &amp; A321 &amp; "" in the "" &amp; B321 &amp; "" category"")"),"Mohammad Yeast is a premium baking essential that ensures a perfect, powerful rise for all your doughs. Ideal for bread, pizza, and pastries, this high-quality yeast activates quickly to create a light, airy texture and delicious flavor in every batch. Pe"&amp;"rfect for home and commercial baking.")</f>
        <v>Mohammad Yeast is a premium baking essential that ensures a perfect, powerful rise for all your doughs. Ideal for bread, pizza, and pastries, this high-quality yeast activates quickly to create a light, airy texture and delicious flavor in every batch. Perfect for home and commercial baking.</v>
      </c>
    </row>
    <row r="322">
      <c r="A322" s="9" t="s">
        <v>667</v>
      </c>
      <c r="B322" s="9" t="s">
        <v>651</v>
      </c>
      <c r="C322" s="9">
        <v>100.0</v>
      </c>
      <c r="D322" s="9">
        <v>170.0</v>
      </c>
      <c r="E322" s="9">
        <v>2.0</v>
      </c>
      <c r="F322" s="3">
        <f t="shared" si="1"/>
        <v>1</v>
      </c>
      <c r="G322" s="6" t="s">
        <v>668</v>
      </c>
      <c r="H322" s="7" t="str">
        <f>IFERROR(__xludf.DUMMYFUNCTION("AI(""Write a short product description under 300 characters for "" &amp; A322 &amp; "" in the "" &amp; B322 &amp; "" category"")"),"Elevate your baking with Saf Instant Yeast. This high-performance dry yeast offers rapid fermentation and superior rising power for fluffy breads and pastries. Easy to use with no proofing required, it ensures consistent, professional results every time. "&amp;"Perfect for all your favorite recipes.")</f>
        <v>Elevate your baking with Saf Instant Yeast. This high-performance dry yeast offers rapid fermentation and superior rising power for fluffy breads and pastries. Easy to use with no proofing required, it ensures consistent, professional results every time. Perfect for all your favorite recipes.</v>
      </c>
    </row>
    <row r="323">
      <c r="A323" s="9" t="s">
        <v>669</v>
      </c>
      <c r="B323" s="9" t="s">
        <v>651</v>
      </c>
      <c r="C323" s="9">
        <v>30.0</v>
      </c>
      <c r="D323" s="9">
        <v>60.0</v>
      </c>
      <c r="E323" s="9">
        <v>2.0</v>
      </c>
      <c r="F323" s="3">
        <f t="shared" si="1"/>
        <v>1</v>
      </c>
      <c r="G323" s="6" t="s">
        <v>670</v>
      </c>
      <c r="H323" s="7" t="str">
        <f>IFERROR(__xludf.DUMMYFUNCTION("AI(""Write a short product description under 300 characters for "" &amp; A323 &amp; "" in the "" &amp; B323 &amp; "" category"")"),"Elevate your baking with Mohammad Baking Soda. This 86g essential leavening agent ensures your cakes, muffins, and cookies achieve a light, fluffy texture every time. Versatile and pure, it also serves as a powerful natural cleaner and deodorizer for vari"&amp;"ous household needs.")</f>
        <v>Elevate your baking with Mohammad Baking Soda. This 86g essential leavening agent ensures your cakes, muffins, and cookies achieve a light, fluffy texture every time. Versatile and pure, it also serves as a powerful natural cleaner and deodorizer for various household needs.</v>
      </c>
    </row>
    <row r="324">
      <c r="A324" s="9" t="s">
        <v>671</v>
      </c>
      <c r="B324" s="9" t="s">
        <v>41</v>
      </c>
      <c r="C324" s="9">
        <v>250.0</v>
      </c>
      <c r="D324" s="9">
        <v>590.0</v>
      </c>
      <c r="E324" s="9">
        <v>1.0</v>
      </c>
      <c r="F324" s="3">
        <f t="shared" si="1"/>
        <v>0.5</v>
      </c>
      <c r="G324" s="6" t="s">
        <v>672</v>
      </c>
      <c r="H324" s="7" t="str">
        <f>IFERROR(__xludf.DUMMYFUNCTION("AI(""Write a short product description under 300 characters for "" &amp; A324 &amp; "" in the "" &amp; B324 &amp; "" category"")"),"Experience the velvety softness of fresh petals with Yardley English Blossom Roll-On. This alcohol-free formula provides 48-hour sweat protection and uses natural licorice extracts to lighten skin and reduce wrinkles, leaving underarms fairer and smooth w"&amp;"ith a delicate floral fragrance.")</f>
        <v>Experience the velvety softness of fresh petals with Yardley English Blossom Roll-On. This alcohol-free formula provides 48-hour sweat protection and uses natural licorice extracts to lighten skin and reduce wrinkles, leaving underarms fairer and smooth with a delicate floral fragrance.</v>
      </c>
    </row>
    <row r="325">
      <c r="A325" s="9" t="s">
        <v>673</v>
      </c>
      <c r="B325" s="9" t="s">
        <v>304</v>
      </c>
      <c r="C325" s="9">
        <v>45.0</v>
      </c>
      <c r="D325" s="9">
        <v>55.0</v>
      </c>
      <c r="E325" s="9">
        <v>2.0</v>
      </c>
      <c r="F325" s="3">
        <f t="shared" si="1"/>
        <v>1</v>
      </c>
      <c r="G325" s="6" t="s">
        <v>674</v>
      </c>
      <c r="H325" s="7" t="str">
        <f>IFERROR(__xludf.DUMMYFUNCTION("AI(""Write a short product description under 300 characters for "" &amp; A325 &amp; "" in the "" &amp; B325 &amp; "" category"")"),"Enhance your culinary creations with Haiko Bit Salt Powder. This 80g pack of premium black salt delivers a distinct tangy and savory flavor, perfect for seasoning fruits, salads, and traditional snacks. A high-quality spice essential for authentic taste.")</f>
        <v>Enhance your culinary creations with Haiko Bit Salt Powder. This 80g pack of premium black salt delivers a distinct tangy and savory flavor, perfect for seasoning fruits, salads, and traditional snacks. A high-quality spice essential for authentic taste.</v>
      </c>
    </row>
    <row r="326">
      <c r="A326" s="9" t="s">
        <v>675</v>
      </c>
      <c r="B326" s="9" t="s">
        <v>41</v>
      </c>
      <c r="C326" s="9">
        <v>350.0</v>
      </c>
      <c r="D326" s="9">
        <v>450.0</v>
      </c>
      <c r="E326" s="9">
        <v>1.0</v>
      </c>
      <c r="F326" s="3">
        <f t="shared" si="1"/>
        <v>0.5</v>
      </c>
      <c r="G326" s="6" t="s">
        <v>676</v>
      </c>
      <c r="H326" s="7" t="str">
        <f>IFERROR(__xludf.DUMMYFUNCTION("AI(""Write a short product description under 300 characters for "" &amp; A326 &amp; "" in the "" &amp; B326 &amp; "" category"")"),"Experience the timeless appeal of Axe Musk Deodorant Body Spray. This 150ml spray features a sophisticated oriental fragrance with notes of lime, amber, and wood. Designed for long-lasting 48-hour protection, it keeps you feeling fresh, masculine, and con"&amp;"fident throughout the day.")</f>
        <v>Experience the timeless appeal of Axe Musk Deodorant Body Spray. This 150ml spray features a sophisticated oriental fragrance with notes of lime, amber, and wood. Designed for long-lasting 48-hour protection, it keeps you feeling fresh, masculine, and confident throughout the day.</v>
      </c>
    </row>
    <row r="327">
      <c r="A327" s="9" t="s">
        <v>677</v>
      </c>
      <c r="B327" s="9" t="s">
        <v>501</v>
      </c>
      <c r="C327" s="9">
        <v>165.0</v>
      </c>
      <c r="D327" s="9">
        <v>200.0</v>
      </c>
      <c r="E327" s="9">
        <v>4.0</v>
      </c>
      <c r="F327" s="3">
        <f t="shared" si="1"/>
        <v>2</v>
      </c>
      <c r="G327" s="6" t="s">
        <v>678</v>
      </c>
      <c r="H327" s="7" t="str">
        <f>IFERROR(__xludf.DUMMYFUNCTION("AI(""Write a short product description under 300 characters for "" &amp; A327 &amp; "" in the "" &amp; B327 &amp; "" category"")"),"Stay confident on heavy flow days with Freedom Heavy Flow Wings. These 290mm pads feature SAP technology that converts liquid into gel for an instant dry feel and odor control. With 6-wall protection and UV sterilization, they offer maximum safety, comfor"&amp;"t, and skin-friendly protection.")</f>
        <v>Stay confident on heavy flow days with Freedom Heavy Flow Wings. These 290mm pads feature SAP technology that converts liquid into gel for an instant dry feel and odor control. With 6-wall protection and UV sterilization, they offer maximum safety, comfort, and skin-friendly protection.</v>
      </c>
    </row>
    <row r="328">
      <c r="A328" s="9" t="s">
        <v>679</v>
      </c>
      <c r="B328" s="9" t="s">
        <v>9</v>
      </c>
      <c r="C328" s="9">
        <v>88.0</v>
      </c>
      <c r="D328" s="9">
        <v>95.0</v>
      </c>
      <c r="E328" s="9">
        <v>2.0</v>
      </c>
      <c r="F328" s="3">
        <f t="shared" si="1"/>
        <v>1</v>
      </c>
      <c r="G328" s="6" t="s">
        <v>680</v>
      </c>
      <c r="H328" s="7" t="str">
        <f>IFERROR(__xludf.DUMMYFUNCTION("AI(""Write a short product description under 300 characters for "" &amp; A328 &amp; "" in the "" &amp; B328 &amp; "" category"")"),"Enjoy the rich and robust flavor of Ispahani Mirzapore Tea Bags. Sourced from the finest tea gardens in Bangladesh, this premium black tea offers a strong aroma and full-bodied taste. Each box contains 50 individually wrapped tea bags for a convenient and"&amp;" refreshing experience.")</f>
        <v>Enjoy the rich and robust flavor of Ispahani Mirzapore Tea Bags. Sourced from the finest tea gardens in Bangladesh, this premium black tea offers a strong aroma and full-bodied taste. Each box contains 50 individually wrapped tea bags for a convenient and refreshing experience.</v>
      </c>
    </row>
    <row r="329">
      <c r="A329" s="9" t="s">
        <v>681</v>
      </c>
      <c r="B329" s="9" t="s">
        <v>522</v>
      </c>
      <c r="C329" s="9">
        <v>100.0</v>
      </c>
      <c r="D329" s="9">
        <v>180.0</v>
      </c>
      <c r="E329" s="9">
        <v>2.0</v>
      </c>
      <c r="F329" s="3">
        <f t="shared" si="1"/>
        <v>1</v>
      </c>
      <c r="G329" s="6" t="s">
        <v>682</v>
      </c>
      <c r="H329" s="7" t="str">
        <f>IFERROR(__xludf.DUMMYFUNCTION("AI(""Write a short product description under 300 characters for "" &amp; A329 &amp; "" in the "" &amp; B329 &amp; "" category"")"),"The Awei CL-115M is a durable 1-meter Micro USB cable designed for 2.4A fast charging and high-speed data sync. Featuring reinforced connectors and a tangle-free PVC design, it ensures reliable performance and overcharge protection for your smartphones an"&amp;"d tablets.")</f>
        <v>The Awei CL-115M is a durable 1-meter Micro USB cable designed for 2.4A fast charging and high-speed data sync. Featuring reinforced connectors and a tangle-free PVC design, it ensures reliable performance and overcharge protection for your smartphones and tablets.</v>
      </c>
    </row>
    <row r="330">
      <c r="A330" s="9" t="s">
        <v>683</v>
      </c>
      <c r="B330" s="9" t="s">
        <v>9</v>
      </c>
      <c r="C330" s="9">
        <v>530.0</v>
      </c>
      <c r="D330" s="9">
        <v>900.0</v>
      </c>
      <c r="E330" s="9">
        <v>1.0</v>
      </c>
      <c r="F330" s="3">
        <f t="shared" si="1"/>
        <v>0.5</v>
      </c>
      <c r="G330" s="6" t="s">
        <v>684</v>
      </c>
      <c r="H330" s="7" t="str">
        <f>IFERROR(__xludf.DUMMYFUNCTION("AI(""Write a short product description under 300 characters for "" &amp; A330 &amp; "" in the "" &amp; B330 &amp; "" category"")"),"Twinings Green Tea &amp; Lemon offers a light, smooth blend of pure green tea leaves and real lemon pieces. This refreshing, invigorating brew delivers a zesty citrus aroma and a crisp, clean finish. Each box contains 25 individually wrapped tea bags, perfect"&amp;" for a hot cup or a cool iced tea.")</f>
        <v>Twinings Green Tea &amp; Lemon offers a light, smooth blend of pure green tea leaves and real lemon pieces. This refreshing, invigorating brew delivers a zesty citrus aroma and a crisp, clean finish. Each box contains 25 individually wrapped tea bags, perfect for a hot cup or a cool iced tea.</v>
      </c>
    </row>
    <row r="331">
      <c r="A331" s="9" t="s">
        <v>685</v>
      </c>
      <c r="B331" s="9" t="s">
        <v>9</v>
      </c>
      <c r="C331" s="9">
        <v>530.0</v>
      </c>
      <c r="D331" s="9">
        <v>900.0</v>
      </c>
      <c r="E331" s="9">
        <v>1.0</v>
      </c>
      <c r="F331" s="3">
        <f t="shared" si="1"/>
        <v>0.5</v>
      </c>
      <c r="G331" s="6" t="s">
        <v>686</v>
      </c>
      <c r="H331" s="7" t="str">
        <f>IFERROR(__xludf.DUMMYFUNCTION("AI(""Write a short product description under 300 characters for "" &amp; A331 &amp; "" in the "" &amp; B331 &amp; "" category"")"),"Savor the masterful blend of bright, perky green tea infused with the delicate citrusy essence of bergamot. These 20 individually wrapped tea bags offer a light and refreshing twist on the classic Earl Grey, perfect for a revitalizing break any time of da"&amp;"y. Enjoy hot or as a crisp iced tea.")</f>
        <v>Savor the masterful blend of bright, perky green tea infused with the delicate citrusy essence of bergamot. These 20 individually wrapped tea bags offer a light and refreshing twist on the classic Earl Grey, perfect for a revitalizing break any time of day. Enjoy hot or as a crisp iced tea.</v>
      </c>
    </row>
    <row r="332">
      <c r="A332" s="9" t="s">
        <v>687</v>
      </c>
      <c r="B332" s="9" t="s">
        <v>134</v>
      </c>
      <c r="C332" s="9">
        <v>150.0</v>
      </c>
      <c r="D332" s="9">
        <v>190.0</v>
      </c>
      <c r="E332" s="9">
        <v>2.0</v>
      </c>
      <c r="F332" s="3">
        <f t="shared" si="1"/>
        <v>1</v>
      </c>
      <c r="G332" s="6" t="s">
        <v>688</v>
      </c>
      <c r="H332" s="7" t="str">
        <f>IFERROR(__xludf.DUMMYFUNCTION("AI(""Write a short product description under 300 characters for "" &amp; A332 &amp; "" in the "" &amp; B332 &amp; "" category"")"),"Experience the ultimate heat challenge with Samyang Extreme Hot Chicken Ramen. This 70g cup features chewy noodles drenched in an intensely spicy Buldak sauce. Perfect for spice lovers seeking a fiery, authentic Korean snack that is quick and easy to prep"&amp;"are on the go.")</f>
        <v>Experience the ultimate heat challenge with Samyang Extreme Hot Chicken Ramen. This 70g cup features chewy noodles drenched in an intensely spicy Buldak sauce. Perfect for spice lovers seeking a fiery, authentic Korean snack that is quick and easy to prepare on the go.</v>
      </c>
    </row>
    <row r="333">
      <c r="A333" s="9" t="s">
        <v>689</v>
      </c>
      <c r="B333" s="9" t="s">
        <v>134</v>
      </c>
      <c r="C333" s="9">
        <v>125.0</v>
      </c>
      <c r="D333" s="9">
        <v>190.0</v>
      </c>
      <c r="E333" s="9">
        <v>1.0</v>
      </c>
      <c r="F333" s="3">
        <f t="shared" si="1"/>
        <v>0.5</v>
      </c>
      <c r="G333" s="6" t="s">
        <v>690</v>
      </c>
      <c r="H333" s="7" t="str">
        <f>IFERROR(__xludf.DUMMYFUNCTION("AI(""Write a short product description under 300 characters for "" &amp; A333 &amp; "" in the "" &amp; B333 &amp; "" category"")"),"Experience the rich, spicy flavors of traditional Indonesian gulai curry with ABC Cup Hot Gulai Chicken. This 60g instant noodle cup features springy noodles in a bold, aromatic chicken broth infused with authentic spices. Perfectly portable and ready in "&amp;"minutes for a satisfying, zesty snack.")</f>
        <v>Experience the rich, spicy flavors of traditional Indonesian gulai curry with ABC Cup Hot Gulai Chicken. This 60g instant noodle cup features springy noodles in a bold, aromatic chicken broth infused with authentic spices. Perfectly portable and ready in minutes for a satisfying, zesty snack.</v>
      </c>
    </row>
    <row r="334">
      <c r="A334" s="9" t="s">
        <v>691</v>
      </c>
      <c r="B334" s="9" t="s">
        <v>9</v>
      </c>
      <c r="C334" s="9">
        <v>140.0</v>
      </c>
      <c r="D334" s="9">
        <v>160.0</v>
      </c>
      <c r="E334" s="9">
        <v>1.0</v>
      </c>
      <c r="F334" s="3">
        <f t="shared" si="1"/>
        <v>0.5</v>
      </c>
      <c r="G334" s="6" t="s">
        <v>692</v>
      </c>
      <c r="H334" s="7" t="str">
        <f>IFERROR(__xludf.DUMMYFUNCTION("AI(""Write a short product description under 300 characters for "" &amp; A334 &amp; "" in the "" &amp; B334 &amp; "" category"")"),"Experience the exceptional taste of Ispahani Blender's Choice Premium Black Tea. Blended from the finest, freshest tea leaves, this 200g pack offers a rich, full-bodied flavor and a sensational aroma. Perfect for tea connoisseurs seeking a pure and exclus"&amp;"ive premium-class refreshing brew.")</f>
        <v>Experience the exceptional taste of Ispahani Blender's Choice Premium Black Tea. Blended from the finest, freshest tea leaves, this 200g pack offers a rich, full-bodied flavor and a sensational aroma. Perfect for tea connoisseurs seeking a pure and exclusive premium-class refreshing brew.</v>
      </c>
    </row>
    <row r="335">
      <c r="A335" s="9" t="s">
        <v>693</v>
      </c>
      <c r="B335" s="9" t="s">
        <v>501</v>
      </c>
      <c r="C335" s="9">
        <v>145.0</v>
      </c>
      <c r="D335" s="9">
        <v>165.0</v>
      </c>
      <c r="E335" s="9">
        <v>1.0</v>
      </c>
      <c r="F335" s="3">
        <f t="shared" si="1"/>
        <v>0.5</v>
      </c>
      <c r="G335" s="6" t="s">
        <v>694</v>
      </c>
      <c r="H335" s="7" t="str">
        <f>IFERROR(__xludf.DUMMYFUNCTION("AI(""Write a short product description under 300 characters for "" &amp; A335 &amp; "" in the "" &amp; B335 &amp; "" category"")"),"Kodomo Bubble Fruit Toothpaste Gel offers 1000 ppm Ultra Active Fluoride and Xylitol for dual protection against cavities. This sugar-free, translucent gel is specially formulated for children aged 6 months and up, making brushing fun with its delicious f"&amp;"lavor while strengthening tooth enamel.")</f>
        <v>Kodomo Bubble Fruit Toothpaste Gel offers 1000 ppm Ultra Active Fluoride and Xylitol for dual protection against cavities. This sugar-free, translucent gel is specially formulated for children aged 6 months and up, making brushing fun with its delicious flavor while strengthening tooth enamel.</v>
      </c>
    </row>
    <row r="336">
      <c r="A336" s="9" t="s">
        <v>695</v>
      </c>
      <c r="B336" s="9" t="s">
        <v>522</v>
      </c>
      <c r="C336" s="9">
        <v>180.0</v>
      </c>
      <c r="D336" s="9">
        <v>290.0</v>
      </c>
      <c r="E336" s="9">
        <v>1.0</v>
      </c>
      <c r="F336" s="3">
        <f t="shared" si="1"/>
        <v>0.5</v>
      </c>
      <c r="G336" s="6" t="s">
        <v>696</v>
      </c>
      <c r="H336" s="7" t="str">
        <f>IFERROR(__xludf.DUMMYFUNCTION("AI(""Write a short product description under 300 characters for "" &amp; A336 &amp; "" in the "" &amp; B336 &amp; "" category"")"),"The Maxline ML-073 Multiplug features 3 ports and a 3-meter copper cable for reliable power. Built with a fireproof plastic body and high-quality contacts, it includes an individual switch and power indicator light. Rated at 2500W, it's a durable and safe"&amp;" solution for your electronics.")</f>
        <v>The Maxline ML-073 Multiplug features 3 ports and a 3-meter copper cable for reliable power. Built with a fireproof plastic body and high-quality contacts, it includes an individual switch and power indicator light. Rated at 2500W, it's a durable and safe solution for your electronics.</v>
      </c>
    </row>
    <row r="337">
      <c r="A337" s="9" t="s">
        <v>697</v>
      </c>
      <c r="B337" s="9" t="s">
        <v>304</v>
      </c>
      <c r="C337" s="9">
        <v>60.0</v>
      </c>
      <c r="D337" s="9">
        <v>80.0</v>
      </c>
      <c r="E337" s="9">
        <v>1.0</v>
      </c>
      <c r="F337" s="3">
        <f t="shared" si="1"/>
        <v>0.5</v>
      </c>
      <c r="G337" s="6" t="s">
        <v>698</v>
      </c>
      <c r="H337" s="7" t="str">
        <f>IFERROR(__xludf.DUMMYFUNCTION("AI(""Write a short product description under 300 characters for "" &amp; A337 &amp; "" in the "" &amp; B337 &amp; "" category"")"),"Elevate your culinary creations with Rangdhanu Mixed Herbs. This 30g aromatic blend of premium dried herbs adds a burst of Mediterranean flavor to pizzas, pastas, and grilled dishes. Perfect for seasoning and garnishing, it brings a savory, herb-rich arom"&amp;"a to every meal.")</f>
        <v>Elevate your culinary creations with Rangdhanu Mixed Herbs. This 30g aromatic blend of premium dried herbs adds a burst of Mediterranean flavor to pizzas, pastas, and grilled dishes. Perfect for seasoning and garnishing, it brings a savory, herb-rich aroma to every meal.</v>
      </c>
    </row>
    <row r="338">
      <c r="A338" s="9" t="s">
        <v>699</v>
      </c>
      <c r="B338" s="9" t="s">
        <v>501</v>
      </c>
      <c r="C338" s="9">
        <v>490.0</v>
      </c>
      <c r="D338" s="9">
        <v>520.0</v>
      </c>
      <c r="E338" s="9">
        <v>1.0</v>
      </c>
      <c r="F338" s="3">
        <f t="shared" si="1"/>
        <v>0.5</v>
      </c>
      <c r="G338" s="6" t="s">
        <v>700</v>
      </c>
      <c r="H338" s="7" t="str">
        <f>IFERROR(__xludf.DUMMYFUNCTION("AI(""Write a short product description under 300 characters for "" &amp; A338 &amp; "" in the "" &amp; B338 &amp; "" category"")"),"Nido 3+ is a nutritional milk supplement for children aged 3+. Formulated with essential vitamins, minerals, and prebiotics, it supports healthy growth, brain development, and immunity during preschool years. This 350g BiB pack provides the goodness of mi"&amp;"lk in a convenient, creamy blend.")</f>
        <v>Nido 3+ is a nutritional milk supplement for children aged 3+. Formulated with essential vitamins, minerals, and prebiotics, it supports healthy growth, brain development, and immunity during preschool years. This 350g BiB pack provides the goodness of milk in a convenient, creamy blend.</v>
      </c>
    </row>
    <row r="339">
      <c r="A339" s="9" t="s">
        <v>701</v>
      </c>
      <c r="B339" s="9" t="s">
        <v>501</v>
      </c>
      <c r="C339" s="9">
        <v>418.0</v>
      </c>
      <c r="D339" s="9">
        <v>430.0</v>
      </c>
      <c r="E339" s="9">
        <v>3.0</v>
      </c>
      <c r="F339" s="3">
        <f t="shared" si="1"/>
        <v>1.5</v>
      </c>
      <c r="G339" s="6" t="s">
        <v>702</v>
      </c>
      <c r="H339" s="7" t="str">
        <f>IFERROR(__xludf.DUMMYFUNCTION("AI(""Write a short product description under 300 characters for "" &amp; A339 &amp; "" in the "" &amp; B339 &amp; "" category"")"),"Nido Fortigrow 350g provides premium dairy-based nutrition to support your child's growth. Enriched with 14 essential vitamins and minerals like Iron and Vitamin D, it boosts immunity and brain development. Help your child stay mind and body ready for sch"&amp;"ool challenges with every creamy glass.")</f>
        <v>Nido Fortigrow 350g provides premium dairy-based nutrition to support your child's growth. Enriched with 14 essential vitamins and minerals like Iron and Vitamin D, it boosts immunity and brain development. Help your child stay mind and body ready for school challenges with every creamy glass.</v>
      </c>
    </row>
    <row r="340">
      <c r="A340" s="9" t="s">
        <v>703</v>
      </c>
      <c r="B340" s="9" t="s">
        <v>501</v>
      </c>
      <c r="C340" s="9">
        <v>463.0</v>
      </c>
      <c r="D340" s="9">
        <v>480.0</v>
      </c>
      <c r="E340" s="9">
        <v>3.0</v>
      </c>
      <c r="F340" s="3">
        <f t="shared" si="1"/>
        <v>1.5</v>
      </c>
      <c r="G340" s="6" t="s">
        <v>704</v>
      </c>
      <c r="H340" s="7" t="str">
        <f>IFERROR(__xludf.DUMMYFUNCTION("AI(""Write a short product description under 300 characters for "" &amp; A340 &amp; "" in the "" &amp; B340 &amp; "" category"")"),"Nestle Nido Family Choice 500g is a nutritious milk powder for children over 5. Fortified with Iron and Vitamins A, C, and D, it supports immune function and physical growth. This creamy, high-quality milk is perfect for daily nutrition and ensuring your "&amp;"child is ready for school.")</f>
        <v>Nestle Nido Family Choice 500g is a nutritious milk powder for children over 5. Fortified with Iron and Vitamins A, C, and D, it supports immune function and physical growth. This creamy, high-quality milk is perfect for daily nutrition and ensuring your child is ready for school.</v>
      </c>
    </row>
    <row r="341">
      <c r="A341" s="9" t="s">
        <v>705</v>
      </c>
      <c r="B341" s="9" t="s">
        <v>134</v>
      </c>
      <c r="C341" s="9">
        <v>308.0</v>
      </c>
      <c r="D341" s="9">
        <v>340.0</v>
      </c>
      <c r="E341" s="9">
        <v>6.0</v>
      </c>
      <c r="F341" s="3">
        <f t="shared" si="1"/>
        <v>3</v>
      </c>
      <c r="G341" s="6" t="s">
        <v>706</v>
      </c>
      <c r="H341" s="7" t="str">
        <f>IFERROR(__xludf.DUMMYFUNCTION("AI(""Write a short product description under 300 characters for "" &amp; A341 &amp; "" in the "" &amp; B341 &amp; "" category"")"),"Maggi Family Fun Pack 992g offers 16 packs of classic 2-minute masala noodles. Infused with a unique blend of aromatic spices, these delicious and easy-to-prepare noodles are perfect for shared meals or quick snacks. Enjoy a satisfying and flavorful treat"&amp;" for the whole family in just minutes.")</f>
        <v>Maggi Family Fun Pack 992g offers 16 packs of classic 2-minute masala noodles. Infused with a unique blend of aromatic spices, these delicious and easy-to-prepare noodles are perfect for shared meals or quick snacks. Enjoy a satisfying and flavorful treat for the whole family in just minutes.</v>
      </c>
    </row>
    <row r="342">
      <c r="A342" s="9" t="s">
        <v>707</v>
      </c>
      <c r="B342" s="9" t="s">
        <v>134</v>
      </c>
      <c r="C342" s="9">
        <v>50.0</v>
      </c>
      <c r="D342" s="9">
        <v>55.0</v>
      </c>
      <c r="E342" s="9">
        <v>12.0</v>
      </c>
      <c r="F342" s="3">
        <f t="shared" si="1"/>
        <v>6</v>
      </c>
      <c r="G342" s="6" t="s">
        <v>708</v>
      </c>
      <c r="H342" s="7" t="str">
        <f>IFERROR(__xludf.DUMMYFUNCTION("AI(""Write a short product description under 300 characters for "" &amp; A342 &amp; "" in the "" &amp; B342 &amp; "" category"")"),"Embark on a gastronomic journey with Maggi Thai Soup. This 35g sachet encapsulates the exotic essence of Thai cuisine with a blend of aromatic herbs and spices. Easy to prepare, it delivers an authentic, vibrant, and spicy taste of Southeast Asia right to"&amp;" your table in minutes.")</f>
        <v>Embark on a gastronomic journey with Maggi Thai Soup. This 35g sachet encapsulates the exotic essence of Thai cuisine with a blend of aromatic herbs and spices. Easy to prepare, it delivers an authentic, vibrant, and spicy taste of Southeast Asia right to your table in minutes.</v>
      </c>
    </row>
    <row r="343">
      <c r="A343" s="9" t="s">
        <v>709</v>
      </c>
      <c r="B343" s="9" t="s">
        <v>134</v>
      </c>
      <c r="C343" s="9">
        <v>50.0</v>
      </c>
      <c r="D343" s="9">
        <v>55.0</v>
      </c>
      <c r="E343" s="9">
        <v>12.0</v>
      </c>
      <c r="F343" s="3">
        <f t="shared" si="1"/>
        <v>6</v>
      </c>
      <c r="G343" s="6" t="s">
        <v>710</v>
      </c>
      <c r="H343" s="7" t="str">
        <f>IFERROR(__xludf.DUMMYFUNCTION("AI(""Write a short product description under 300 characters for "" &amp; A343 &amp; "" in the "" &amp; B343 &amp; "" category"")"),"Maggi Corn Soup delivers comfort in every bowl with its rich, savory blend of tender corn kernels and aromatic spices. This convenient 25g instant soup is perfect for a warm, nourishing snack. Simply add hot water to enjoy a delicious, creamy pick-me-up i"&amp;"n minutes.")</f>
        <v>Maggi Corn Soup delivers comfort in every bowl with its rich, savory blend of tender corn kernels and aromatic spices. This convenient 25g instant soup is perfect for a warm, nourishing snack. Simply add hot water to enjoy a delicious, creamy pick-me-up in minutes.</v>
      </c>
    </row>
    <row r="344">
      <c r="A344" s="9" t="s">
        <v>711</v>
      </c>
      <c r="B344" s="9" t="s">
        <v>134</v>
      </c>
      <c r="C344" s="9">
        <v>45.5</v>
      </c>
      <c r="D344" s="9">
        <v>50.0</v>
      </c>
      <c r="E344" s="9">
        <v>12.0</v>
      </c>
      <c r="F344" s="3">
        <f t="shared" si="1"/>
        <v>6</v>
      </c>
      <c r="G344" s="6" t="s">
        <v>712</v>
      </c>
      <c r="H344" s="7" t="str">
        <f>IFERROR(__xludf.DUMMYFUNCTION("AI(""Write a short product description under 300 characters for "" &amp; A344 &amp; "" in the "" &amp; B344 &amp; "" category"")"),"Maggi Healthy Vegetable Soup is a delicious, ready-to-cook snack packed with wholesome vegetable bits. Light yet satisfying, it is low in fat and cholesterol, making it a perfect healthy alternative to fried snacks. Enjoy a warm, nourishing meal in minute"&amp;"s with this convenient 25g sachet.")</f>
        <v>Maggi Healthy Vegetable Soup is a delicious, ready-to-cook snack packed with wholesome vegetable bits. Light yet satisfying, it is low in fat and cholesterol, making it a perfect healthy alternative to fried snacks. Enjoy a warm, nourishing meal in minutes with this convenient 25g sachet.</v>
      </c>
    </row>
    <row r="345">
      <c r="A345" s="9" t="s">
        <v>713</v>
      </c>
      <c r="B345" s="9" t="s">
        <v>134</v>
      </c>
      <c r="C345" s="9">
        <v>4.5</v>
      </c>
      <c r="D345" s="9">
        <v>5.0</v>
      </c>
      <c r="E345" s="9">
        <v>216.0</v>
      </c>
      <c r="F345" s="3">
        <f t="shared" si="1"/>
        <v>108</v>
      </c>
      <c r="G345" s="6" t="s">
        <v>714</v>
      </c>
      <c r="H345" s="7" t="str">
        <f>IFERROR(__xludf.DUMMYFUNCTION("AI(""Write a short product description under 300 characters for "" &amp; A345 &amp; "" in the "" &amp; B345 &amp; "" category"")"),"Enhance your daily meals with Maggi Shaad-e-Magic. This unique 4g blend of roasted spices like cumin, chili, and garlic adds a traditional touch to any savory dish. Fortified with Vitamin A, Iron, and Iodine, it makes your favorite recipes tastier and mor"&amp;"e nutritious in just minutes.")</f>
        <v>Enhance your daily meals with Maggi Shaad-e-Magic. This unique 4g blend of roasted spices like cumin, chili, and garlic adds a traditional touch to any savory dish. Fortified with Vitamin A, Iron, and Iodine, it makes your favorite recipes tastier and more nutritious in just minutes.</v>
      </c>
    </row>
    <row r="346">
      <c r="A346" s="9" t="s">
        <v>715</v>
      </c>
      <c r="B346" s="9" t="s">
        <v>134</v>
      </c>
      <c r="C346" s="9">
        <v>159.0</v>
      </c>
      <c r="D346" s="9">
        <v>200.0</v>
      </c>
      <c r="E346" s="9">
        <v>6.0</v>
      </c>
      <c r="F346" s="3">
        <f t="shared" si="1"/>
        <v>3</v>
      </c>
      <c r="G346" s="6" t="s">
        <v>716</v>
      </c>
      <c r="H346" s="7" t="str">
        <f>IFERROR(__xludf.DUMMYFUNCTION("AI(""Write a short product description under 300 characters for "" &amp; A346 &amp; "" in the "" &amp; B346 &amp; "" category"")"),"Savor the classic taste of Maggi 2-Minute Masala Noodles. This 496g pack features a perfect blend of authentic Indian spices, providing a bold and aromatic flavor. Quick and easy to prepare, it is the ideal savory snack or meal for busy days. Enjoy a comf"&amp;"orting bowl in just minutes.")</f>
        <v>Savor the classic taste of Maggi 2-Minute Masala Noodles. This 496g pack features a perfect blend of authentic Indian spices, providing a bold and aromatic flavor. Quick and easy to prepare, it is the ideal savory snack or meal for busy days. Enjoy a comforting bowl in just minutes.</v>
      </c>
    </row>
    <row r="347">
      <c r="A347" s="9" t="s">
        <v>717</v>
      </c>
      <c r="B347" s="9" t="s">
        <v>134</v>
      </c>
      <c r="C347" s="9">
        <v>9.0</v>
      </c>
      <c r="D347" s="9">
        <v>10.0</v>
      </c>
      <c r="E347" s="9">
        <v>24.0</v>
      </c>
      <c r="F347" s="3">
        <f t="shared" si="1"/>
        <v>12</v>
      </c>
      <c r="G347" s="6" t="s">
        <v>718</v>
      </c>
      <c r="H347" s="7" t="str">
        <f>IFERROR(__xludf.DUMMYFUNCTION("AI(""Write a short product description under 300 characters for "" &amp; A347 &amp; "" in the "" &amp; B347 &amp; "" category"")"),"Elevate your snacks with Maggi Chicken Sizzling 8g. This savory seasoning mix delivers a bold, zesty chicken flavor that perfectly enhances noodles, soups, and appetizers. Conveniently packed for a quick flavor boost, it brings a delicious, restaurant-sty"&amp;"le sizzle to your favorite dishes.")</f>
        <v>Elevate your snacks with Maggi Chicken Sizzling 8g. This savory seasoning mix delivers a bold, zesty chicken flavor that perfectly enhances noodles, soups, and appetizers. Conveniently packed for a quick flavor boost, it brings a delicious, restaurant-style sizzle to your favorite dishes.</v>
      </c>
    </row>
    <row r="348">
      <c r="A348" s="9" t="s">
        <v>719</v>
      </c>
      <c r="B348" s="9" t="s">
        <v>134</v>
      </c>
      <c r="C348" s="9">
        <v>162.0</v>
      </c>
      <c r="D348" s="9">
        <v>180.0</v>
      </c>
      <c r="E348" s="9">
        <v>4.0</v>
      </c>
      <c r="F348" s="3">
        <f t="shared" si="1"/>
        <v>2</v>
      </c>
      <c r="G348" s="6" t="s">
        <v>720</v>
      </c>
      <c r="H348" s="7" t="str">
        <f>IFERROR(__xludf.DUMMYFUNCTION("AI(""Write a short product description under 300 characters for "" &amp; A348 &amp; "" in the "" &amp; B348 &amp; "" category"")"),"Satisfy your cravings with Maggi 2-Minute Fried Chicken Flavored Noodles. This 400g 8-pack offers the mouthwatering taste of fried chicken seasoning in a quick, delicious snack. Ready in just 2 minutes, it is perfect for easy family meals or a savory late"&amp;"-night treat.")</f>
        <v>Satisfy your cravings with Maggi 2-Minute Fried Chicken Flavored Noodles. This 400g 8-pack offers the mouthwatering taste of fried chicken seasoning in a quick, delicious snack. Ready in just 2 minutes, it is perfect for easy family meals or a savory late-night treat.</v>
      </c>
    </row>
    <row r="349">
      <c r="A349" s="9" t="s">
        <v>721</v>
      </c>
      <c r="B349" s="9" t="s">
        <v>9</v>
      </c>
      <c r="C349" s="9">
        <v>9.0</v>
      </c>
      <c r="D349" s="9">
        <v>10.0</v>
      </c>
      <c r="E349" s="9">
        <v>24.0</v>
      </c>
      <c r="F349" s="3">
        <f t="shared" si="1"/>
        <v>12</v>
      </c>
      <c r="G349" s="6" t="s">
        <v>722</v>
      </c>
      <c r="H349" s="7" t="str">
        <f>IFERROR(__xludf.DUMMYFUNCTION("AI(""Write a short product description under 300 characters for "" &amp; A349 &amp; "" in the "" &amp; B349 &amp; "" category"")"),"Experience the bold and aromatic taste of Nescafe Americano. This convenient 8g sachet contains a premium blend with finely ground Arabica coffee for an intense, smooth cup. Easy to prepare and cold soluble, it is the perfect low-calorie choice for a refr"&amp;"eshing caffeine boost anytime.")</f>
        <v>Experience the bold and aromatic taste of Nescafe Americano. This convenient 8g sachet contains a premium blend with finely ground Arabica coffee for an intense, smooth cup. Easy to prepare and cold soluble, it is the perfect low-calorie choice for a refreshing caffeine boost anytime.</v>
      </c>
    </row>
    <row r="350">
      <c r="A350" s="9" t="s">
        <v>723</v>
      </c>
      <c r="B350" s="9" t="s">
        <v>9</v>
      </c>
      <c r="C350" s="9">
        <v>13.0</v>
      </c>
      <c r="D350" s="9">
        <v>15.0</v>
      </c>
      <c r="E350" s="9">
        <v>36.0</v>
      </c>
      <c r="F350" s="3">
        <f t="shared" si="1"/>
        <v>18</v>
      </c>
      <c r="G350" s="6" t="s">
        <v>724</v>
      </c>
      <c r="H350" s="7" t="str">
        <f>IFERROR(__xludf.DUMMYFUNCTION("AI(""Write a short product description under 300 characters for "" &amp; A350 &amp; "" in the "" &amp; B350 &amp; "" category"")"),"Enjoy the perfect blend of coffee, creamer, and sugar with Nescafe 3in1. This convenient 14g sachet offers a smooth, creamy, and well-balanced flavor in an instant. Just add hot water to enjoy a rich and comforting cup of coffee anywhere, anytime. Sourced"&amp;" from high-quality coffee beans.")</f>
        <v>Enjoy the perfect blend of coffee, creamer, and sugar with Nescafe 3in1. This convenient 14g sachet offers a smooth, creamy, and well-balanced flavor in an instant. Just add hot water to enjoy a rich and comforting cup of coffee anywhere, anytime. Sourced from high-quality coffee beans.</v>
      </c>
    </row>
    <row r="351">
      <c r="A351" s="9" t="s">
        <v>725</v>
      </c>
      <c r="B351" s="9" t="s">
        <v>9</v>
      </c>
      <c r="C351" s="9">
        <v>27.0</v>
      </c>
      <c r="D351" s="9">
        <v>30.0</v>
      </c>
      <c r="E351" s="9">
        <v>12.0</v>
      </c>
      <c r="F351" s="3">
        <f t="shared" si="1"/>
        <v>6</v>
      </c>
      <c r="G351" s="6" t="s">
        <v>726</v>
      </c>
      <c r="H351" s="7" t="str">
        <f>IFERROR(__xludf.DUMMYFUNCTION("AI(""Write a short product description under 300 characters for "" &amp; A351 &amp; "" in the "" &amp; B351 &amp; "" category"")"),"Indulge in the smooth taste of Nescafe Hazelnut Latte, a delicious blend of quality coffee, creamy milk, and the irresistible flavor of roasted hazelnuts. These convenient sachets allow you to enjoy a perfectly balanced, frothy cafe-style latte in seconds"&amp;", whether you are at home or on the go.")</f>
        <v>Indulge in the smooth taste of Nescafe Hazelnut Latte, a delicious blend of quality coffee, creamy milk, and the irresistible flavor of roasted hazelnuts. These convenient sachets allow you to enjoy a perfectly balanced, frothy cafe-style latte in seconds, whether you are at home or on the go.</v>
      </c>
    </row>
    <row r="352">
      <c r="A352" s="9" t="s">
        <v>727</v>
      </c>
      <c r="B352" s="9" t="s">
        <v>9</v>
      </c>
      <c r="C352" s="9">
        <v>826.0</v>
      </c>
      <c r="D352" s="9">
        <v>950.0</v>
      </c>
      <c r="E352" s="9">
        <v>3.0</v>
      </c>
      <c r="F352" s="3">
        <f t="shared" si="1"/>
        <v>1.5</v>
      </c>
      <c r="G352" s="6" t="s">
        <v>728</v>
      </c>
      <c r="H352" s="7" t="str">
        <f>IFERROR(__xludf.DUMMYFUNCTION("AI(""Write a short product description under 300 characters for "" &amp; A352 &amp; "" in the "" &amp; B352 &amp; "" category"")"),"Experience the bold taste and rich aroma of Nescafe Classic. Made from 100% pure, slow-roasted Robusta beans, this instant coffee delivers a full-bodied flavor in every cup. Perfect for a quick morning boost or a refreshing iced coffee, it provides a time"&amp;"less and invigorating coffee experience.")</f>
        <v>Experience the bold taste and rich aroma of Nescafe Classic. Made from 100% pure, slow-roasted Robusta beans, this instant coffee delivers a full-bodied flavor in every cup. Perfect for a quick morning boost or a refreshing iced coffee, it provides a timeless and invigorating coffee experience.</v>
      </c>
    </row>
    <row r="353">
      <c r="A353" s="9" t="s">
        <v>729</v>
      </c>
      <c r="B353" s="9" t="s">
        <v>501</v>
      </c>
      <c r="C353" s="9">
        <v>615.0</v>
      </c>
      <c r="D353" s="9">
        <v>650.0</v>
      </c>
      <c r="E353" s="9">
        <v>1.0</v>
      </c>
      <c r="F353" s="3">
        <f t="shared" si="1"/>
        <v>0.5</v>
      </c>
      <c r="G353" s="6" t="s">
        <v>730</v>
      </c>
      <c r="H353" s="7" t="str">
        <f>IFERROR(__xludf.DUMMYFUNCTION("AI(""Write a short product description under 300 characters for "" &amp; A353 &amp; "" in the "" &amp; B353 &amp; "" category"")"),"Nestle Lactogen 1 is a spray-dried infant formula designed for babies from birth up to 6 months when breast milk is unavailable. Enriched with essential vitamins, minerals, and DHA, this 1350g pack supports healthy growth, brain development, and digestion"&amp;" for your little one.")</f>
        <v>Nestle Lactogen 1 is a spray-dried infant formula designed for babies from birth up to 6 months when breast milk is unavailable. Enriched with essential vitamins, minerals, and DHA, this 1350g pack supports healthy growth, brain development, and digestion for your little one.</v>
      </c>
    </row>
    <row r="354">
      <c r="A354" s="9" t="s">
        <v>731</v>
      </c>
      <c r="B354" s="9" t="s">
        <v>501</v>
      </c>
      <c r="C354" s="9">
        <v>642.0</v>
      </c>
      <c r="D354" s="9">
        <v>670.0</v>
      </c>
      <c r="E354" s="9">
        <v>1.0</v>
      </c>
      <c r="F354" s="3">
        <f t="shared" si="1"/>
        <v>0.5</v>
      </c>
      <c r="G354" s="6" t="s">
        <v>732</v>
      </c>
      <c r="H354" s="7" t="str">
        <f>IFERROR(__xludf.DUMMYFUNCTION("AI(""Write a short product description under 300 characters for "" &amp; A354 &amp; "" in the "" &amp; B354 &amp; "" category"")"),"Nestle Lactogen 2 is a spray-dried follow-up formula for infants aged 6 to 12 months. Enriched with essential vitamins, minerals, and probiotics like L. reuteri, it supports healthy growth, brain development, and digestion during the weaning stage. Gentle"&amp;" on tiny tummies.")</f>
        <v>Nestle Lactogen 2 is a spray-dried follow-up formula for infants aged 6 to 12 months. Enriched with essential vitamins, minerals, and probiotics like L. reuteri, it supports healthy growth, brain development, and digestion during the weaning stage. Gentle on tiny tummies.</v>
      </c>
    </row>
    <row r="355">
      <c r="A355" s="9" t="s">
        <v>733</v>
      </c>
      <c r="B355" s="9" t="s">
        <v>501</v>
      </c>
      <c r="C355" s="9">
        <v>642.0</v>
      </c>
      <c r="D355" s="9">
        <v>670.0</v>
      </c>
      <c r="E355" s="9">
        <v>1.0</v>
      </c>
      <c r="F355" s="3">
        <f t="shared" si="1"/>
        <v>0.5</v>
      </c>
      <c r="G355" s="6" t="s">
        <v>734</v>
      </c>
      <c r="H355" s="7" t="str">
        <f>IFERROR(__xludf.DUMMYFUNCTION("AI(""Write a short product description under 300 characters for "" &amp; A355 &amp; "" in the "" &amp; B355 &amp; "" category"")"),"Nestle Lactogen 3 is a nutritious growing-up milk for children aged 12 months and older. Enriched with DHA, iron, calcium, and probiotics like L. reuteri, it supports healthy growth, brain development, and digestive comfort to ensure your child's overall "&amp;"well-being.")</f>
        <v>Nestle Lactogen 3 is a nutritious growing-up milk for children aged 12 months and older. Enriched with DHA, iron, calcium, and probiotics like L. reuteri, it supports healthy growth, brain development, and digestive comfort to ensure your child's overall well-being.</v>
      </c>
    </row>
    <row r="356">
      <c r="A356" s="9" t="s">
        <v>735</v>
      </c>
      <c r="B356" s="9" t="s">
        <v>501</v>
      </c>
      <c r="C356" s="9">
        <v>769.0</v>
      </c>
      <c r="D356" s="9">
        <v>900.0</v>
      </c>
      <c r="E356" s="9">
        <v>1.0</v>
      </c>
      <c r="F356" s="3">
        <f t="shared" si="1"/>
        <v>0.5</v>
      </c>
      <c r="G356" s="6" t="s">
        <v>736</v>
      </c>
      <c r="H356" s="7" t="str">
        <f>IFERROR(__xludf.DUMMYFUNCTION("AI(""Write a short product description under 300 characters for "" &amp; A356 &amp; "" in the "" &amp; B356 &amp; "" category"")"),"Nestle NAN OPTIPRO 1 is a premium starter infant formula for babies from birth to 6 months. Formulated with high-quality proteins, probiotics, and DHA/ARA, it supports healthy growth, brain development, and digestion. This 300g pack provides balanced nutr"&amp;"ition for your baby's early stages.")</f>
        <v>Nestle NAN OPTIPRO 1 is a premium starter infant formula for babies from birth to 6 months. Formulated with high-quality proteins, probiotics, and DHA/ARA, it supports healthy growth, brain development, and digestion. This 300g pack provides balanced nutrition for your baby's early stages.</v>
      </c>
    </row>
    <row r="357">
      <c r="A357" s="9" t="s">
        <v>737</v>
      </c>
      <c r="B357" s="9" t="s">
        <v>501</v>
      </c>
      <c r="C357" s="9">
        <v>863.0</v>
      </c>
      <c r="D357" s="9">
        <v>920.0</v>
      </c>
      <c r="E357" s="9">
        <v>1.0</v>
      </c>
      <c r="F357" s="3">
        <f t="shared" si="1"/>
        <v>0.5</v>
      </c>
      <c r="G357" s="6" t="s">
        <v>738</v>
      </c>
      <c r="H357" s="7" t="str">
        <f>IFERROR(__xludf.DUMMYFUNCTION("AI(""Write a short product description under 300 characters for "" &amp; A357 &amp; "" in the "" &amp; B357 &amp; "" category"")"),"Nestle Nan OptiPro 2 is a premium follow-on formula for infants aged 6-12 months. Enriched with optimized proteins, DHA, and essential vitamins, it supports healthy growth, brain development, and immune health. This 350g pack ensures balanced nutrition du"&amp;"ring your baby's transition to solids.")</f>
        <v>Nestle Nan OptiPro 2 is a premium follow-on formula for infants aged 6-12 months. Enriched with optimized proteins, DHA, and essential vitamins, it supports healthy growth, brain development, and immune health. This 350g pack ensures balanced nutrition during your baby's transition to solids.</v>
      </c>
    </row>
    <row r="358">
      <c r="A358" s="9" t="s">
        <v>739</v>
      </c>
      <c r="B358" s="9" t="s">
        <v>501</v>
      </c>
      <c r="C358" s="9">
        <v>863.0</v>
      </c>
      <c r="D358" s="9">
        <v>920.0</v>
      </c>
      <c r="E358" s="9">
        <v>1.0</v>
      </c>
      <c r="F358" s="3">
        <f t="shared" si="1"/>
        <v>0.5</v>
      </c>
      <c r="G358" s="6" t="s">
        <v>740</v>
      </c>
      <c r="H358" s="7" t="str">
        <f>IFERROR(__xludf.DUMMYFUNCTION("AI(""Write a short product description under 300 characters for "" &amp; A358 &amp; "" in the "" &amp; B358 &amp; "" category"")"),"Nestle NAN Optipro 3 is a premium growing-up milk for toddlers aged 1-3 years. Formulated with optimized protein, probiotics, and 16 essential vitamins and minerals like iron and DHA, it supports healthy growth, brain development, and immunity. Perfect fo"&amp;"r your active toddler's nutritional needs.")</f>
        <v>Nestle NAN Optipro 3 is a premium growing-up milk for toddlers aged 1-3 years. Formulated with optimized protein, probiotics, and 16 essential vitamins and minerals like iron and DHA, it supports healthy growth, brain development, and immunity. Perfect for your active toddler's nutritional needs.</v>
      </c>
    </row>
    <row r="359">
      <c r="A359" s="9" t="s">
        <v>741</v>
      </c>
      <c r="B359" s="9" t="s">
        <v>501</v>
      </c>
      <c r="C359" s="9">
        <v>376.0</v>
      </c>
      <c r="D359" s="9">
        <v>400.0</v>
      </c>
      <c r="E359" s="9">
        <v>1.0</v>
      </c>
      <c r="F359" s="3">
        <f t="shared" si="1"/>
        <v>0.5</v>
      </c>
      <c r="G359" s="6" t="s">
        <v>742</v>
      </c>
      <c r="H359" s="7" t="str">
        <f>IFERROR(__xludf.DUMMYFUNCTION("AI(""Write a short product description under 300 characters for "" &amp; A359 &amp; "" in the "" &amp; B359 &amp; "" category"")"),"Cerelac Stage 1 Rice is a gentle, iron-fortified first solid food for babies from 6 months. This 350g pack features a smooth, easy-to-digest texture and essential nutrients like Vitamin C and probiotics to support healthy growth and a strong immune system"&amp;". Simply mix with water or milk.")</f>
        <v>Cerelac Stage 1 Rice is a gentle, iron-fortified first solid food for babies from 6 months. This 350g pack features a smooth, easy-to-digest texture and essential nutrients like Vitamin C and probiotics to support healthy growth and a strong immune system. Simply mix with water or milk.</v>
      </c>
    </row>
    <row r="360">
      <c r="A360" s="9" t="s">
        <v>743</v>
      </c>
      <c r="B360" s="9" t="s">
        <v>501</v>
      </c>
      <c r="C360" s="9">
        <v>396.0</v>
      </c>
      <c r="D360" s="9">
        <v>420.0</v>
      </c>
      <c r="E360" s="9">
        <v>1.0</v>
      </c>
      <c r="F360" s="3">
        <f t="shared" si="1"/>
        <v>0.5</v>
      </c>
      <c r="G360" s="6" t="s">
        <v>744</v>
      </c>
      <c r="H360" s="7" t="str">
        <f>IFERROR(__xludf.DUMMYFUNCTION("AI(""Write a short product description under 300 characters for "" &amp; A360 &amp; "" in the "" &amp; B360 &amp; "" category"")"),"Nestle Cerelac Stage 1 Three Fruits is a nutritious 350g infant cereal for babies 6 months+. Fortified with iron, vitamins, and minerals, this smooth blend of wheat and real fruits supports healthy growth and cognitive development. Easy to prepare with wa"&amp;"ter or milk for a delicious first food.")</f>
        <v>Nestle Cerelac Stage 1 Three Fruits is a nutritious 350g infant cereal for babies 6 months+. Fortified with iron, vitamins, and minerals, this smooth blend of wheat and real fruits supports healthy growth and cognitive development. Easy to prepare with water or milk for a delicious first food.</v>
      </c>
    </row>
    <row r="361">
      <c r="A361" s="9" t="s">
        <v>745</v>
      </c>
      <c r="B361" s="9" t="s">
        <v>501</v>
      </c>
      <c r="C361" s="9">
        <v>414.0</v>
      </c>
      <c r="D361" s="9">
        <v>440.0</v>
      </c>
      <c r="E361" s="9">
        <v>1.0</v>
      </c>
      <c r="F361" s="3">
        <f t="shared" si="1"/>
        <v>0.5</v>
      </c>
      <c r="G361" s="6" t="s">
        <v>746</v>
      </c>
      <c r="H361" s="7" t="str">
        <f>IFERROR(__xludf.DUMMYFUNCTION("AI(""Write a short product description under 300 characters for "" &amp; A361 &amp; "" in the "" &amp; B361 &amp; "" category"")"),"Nestle Cerelac Stage 2 Wheat Apple Cherry is a nutritious cereal for babies 8+ months. Fortified with iron and 14 essential nutrients, it supports growth and immunity. This easily digestible meal features real fruit and grains, providing a wholesome, deli"&amp;"cious start for your little one.")</f>
        <v>Nestle Cerelac Stage 2 Wheat Apple Cherry is a nutritious cereal for babies 8+ months. Fortified with iron and 14 essential nutrients, it supports growth and immunity. This easily digestible meal features real fruit and grains, providing a wholesome, delicious start for your little one.</v>
      </c>
    </row>
    <row r="362">
      <c r="A362" s="9" t="s">
        <v>747</v>
      </c>
      <c r="B362" s="9" t="s">
        <v>501</v>
      </c>
      <c r="C362" s="9">
        <v>414.0</v>
      </c>
      <c r="D362" s="9">
        <v>440.0</v>
      </c>
      <c r="E362" s="9">
        <v>1.0</v>
      </c>
      <c r="F362" s="3">
        <f t="shared" si="1"/>
        <v>0.5</v>
      </c>
      <c r="G362" s="6" t="s">
        <v>748</v>
      </c>
      <c r="H362" s="7" t="str">
        <f>IFERROR(__xludf.DUMMYFUNCTION("AI(""Write a short product description under 300 characters for "" &amp; A362 &amp; "" in the "" &amp; B362 &amp; "" category"")"),"Nestle Cerelac Stage 2 Chicken Scoop is a nutritious wheat-based cereal for babies aged 8–24 months. Enriched with Iron, Vitamin A, C, and Zinc, it supports brain development and immune health. This savory 350g pack is easy to prepare, offering 18 essenti"&amp;"al nutrients for healthy growth.")</f>
        <v>Nestle Cerelac Stage 2 Chicken Scoop is a nutritious wheat-based cereal for babies aged 8–24 months. Enriched with Iron, Vitamin A, C, and Zinc, it supports brain development and immune health. This savory 350g pack is easy to prepare, offering 18 essential nutrients for healthy growth.</v>
      </c>
    </row>
    <row r="363">
      <c r="A363" s="9" t="s">
        <v>749</v>
      </c>
      <c r="B363" s="9" t="s">
        <v>501</v>
      </c>
      <c r="C363" s="9">
        <v>432.0</v>
      </c>
      <c r="D363" s="9">
        <v>460.0</v>
      </c>
      <c r="E363" s="9">
        <v>1.0</v>
      </c>
      <c r="F363" s="3">
        <f t="shared" si="1"/>
        <v>0.5</v>
      </c>
      <c r="G363" s="6" t="s">
        <v>750</v>
      </c>
      <c r="H363" s="7" t="str">
        <f>IFERROR(__xludf.DUMMYFUNCTION("AI(""Write a short product description under 300 characters for "" &amp; A363 &amp; "" in the "" &amp; B363 &amp; "" category"")"),"Nestlé Cerelac Stage 3 Four Fruit 350g is a nutritious wheat-based cereal for infants 10 months and up. Enriched with iron, 16 vitamins, minerals, and probiotics, it features real fruit pieces to help develop chewing skills and support healthy growth and "&amp;"cognitive development.")</f>
        <v>Nestlé Cerelac Stage 3 Four Fruit 350g is a nutritious wheat-based cereal for infants 10 months and up. Enriched with iron, 16 vitamins, minerals, and probiotics, it features real fruit pieces to help develop chewing skills and support healthy growth and cognitive development.</v>
      </c>
    </row>
    <row r="364">
      <c r="A364" s="9" t="s">
        <v>751</v>
      </c>
      <c r="B364" s="9" t="s">
        <v>501</v>
      </c>
      <c r="C364" s="9">
        <v>453.0</v>
      </c>
      <c r="D364" s="9">
        <v>480.0</v>
      </c>
      <c r="E364" s="9">
        <v>1.0</v>
      </c>
      <c r="F364" s="3">
        <f t="shared" si="1"/>
        <v>0.5</v>
      </c>
      <c r="G364" s="6" t="s">
        <v>752</v>
      </c>
      <c r="H364" s="7" t="str">
        <f>IFERROR(__xludf.DUMMYFUNCTION("AI(""Write a short product description under 300 characters for "" &amp; A364 &amp; "" in the "" &amp; B364 &amp; "" category"")"),"Nestle Cerelac Stage 4 Chicken is a savory growing-up cereal for toddlers aged 12 months+. Fortified with iron and 16 essential vitamins and minerals, this 350g pack features a coarser texture to help your little one transition to family foods while suppo"&amp;"rting healthy growth and immunity.")</f>
        <v>Nestle Cerelac Stage 4 Chicken is a savory growing-up cereal for toddlers aged 12 months+. Fortified with iron and 16 essential vitamins and minerals, this 350g pack features a coarser texture to help your little one transition to family foods while supporting healthy growth and immunity.</v>
      </c>
    </row>
    <row r="365">
      <c r="A365" s="9" t="s">
        <v>753</v>
      </c>
      <c r="B365" s="9" t="s">
        <v>501</v>
      </c>
      <c r="C365" s="9">
        <v>494.0</v>
      </c>
      <c r="D365" s="9">
        <v>525.0</v>
      </c>
      <c r="E365" s="9">
        <v>1.0</v>
      </c>
      <c r="F365" s="3">
        <f t="shared" si="1"/>
        <v>0.5</v>
      </c>
      <c r="G365" s="6" t="s">
        <v>754</v>
      </c>
      <c r="H365" s="7" t="str">
        <f>IFERROR(__xludf.DUMMYFUNCTION("AI(""Write a short product description under 300 characters for "" &amp; A365 &amp; "" in the "" &amp; B365 &amp; "" category"")"),"Nestle Cerelac Stage 5 Multifruit is a nutritious 5-grain cereal for toddlers 18-24 months. Enriched with 18 essential nutrients including iron and vitamins, its textured fruit pieces help develop chewing skills. Simply mix with lukewarm water for a delic"&amp;"ious, growth-supporting meal.")</f>
        <v>Nestle Cerelac Stage 5 Multifruit is a nutritious 5-grain cereal for toddlers 18-24 months. Enriched with 18 essential nutrients including iron and vitamins, its textured fruit pieces help develop chewing skills. Simply mix with lukewarm water for a delicious, growth-supporting meal.</v>
      </c>
    </row>
    <row r="366">
      <c r="A366" s="9" t="s">
        <v>755</v>
      </c>
      <c r="B366" s="9" t="s">
        <v>501</v>
      </c>
      <c r="C366" s="9">
        <v>376.0</v>
      </c>
      <c r="D366" s="9">
        <v>400.0</v>
      </c>
      <c r="E366" s="9">
        <v>1.0</v>
      </c>
      <c r="F366" s="3">
        <f t="shared" si="1"/>
        <v>0.5</v>
      </c>
      <c r="G366" s="6" t="s">
        <v>756</v>
      </c>
      <c r="H366" s="7" t="str">
        <f>IFERROR(__xludf.DUMMYFUNCTION("AI(""Write a short product description under 300 characters for "" &amp; A366 &amp; "" in the "" &amp; B366 &amp; "" category"")"),"Nestle Cerelac Stage I Wheat (350g) is a nutritious, fortified cereal for infants starting solids. Rich in iron, calcium, and essential vitamins, it supports healthy growth and cognitive development. Its smooth, easily digestible texture makes it perfect "&amp;"for a baby's first meal.")</f>
        <v>Nestle Cerelac Stage I Wheat (350g) is a nutritious, fortified cereal for infants starting solids. Rich in iron, calcium, and essential vitamins, it supports healthy growth and cognitive development. Its smooth, easily digestible texture makes it perfect for a baby's first meal.</v>
      </c>
    </row>
    <row r="367">
      <c r="A367" s="9" t="s">
        <v>757</v>
      </c>
      <c r="B367" s="9" t="s">
        <v>501</v>
      </c>
      <c r="C367" s="9">
        <v>490.0</v>
      </c>
      <c r="D367" s="9">
        <v>525.0</v>
      </c>
      <c r="E367" s="9">
        <v>1.0</v>
      </c>
      <c r="F367" s="3">
        <f t="shared" si="1"/>
        <v>0.5</v>
      </c>
      <c r="G367" s="6" t="s">
        <v>758</v>
      </c>
      <c r="H367" s="7" t="str">
        <f>IFERROR(__xludf.DUMMYFUNCTION("AI(""Write a short product description under 300 characters for "" &amp; A367 &amp; "" in the "" &amp; B367 &amp; "" category"")"),"Nido 1+ 350g is a fortified milk beverage tailored for toddlers aged 1-3. Rich in 22 essential nutrients, including DHA, calcium, and probiotics, it supports brain development, bone growth, and a healthy immune system with a delicious hint of honey that k"&amp;"ids love.")</f>
        <v>Nido 1+ 350g is a fortified milk beverage tailored for toddlers aged 1-3. Rich in 22 essential nutrients, including DHA, calcium, and probiotics, it supports brain development, bone growth, and a healthy immune system with a delicious hint of honey that kids love.</v>
      </c>
    </row>
    <row r="368">
      <c r="A368" s="9" t="s">
        <v>759</v>
      </c>
      <c r="B368" s="9" t="s">
        <v>9</v>
      </c>
      <c r="C368" s="9">
        <v>897.0</v>
      </c>
      <c r="D368" s="9">
        <v>970.0</v>
      </c>
      <c r="E368" s="9">
        <v>2.0</v>
      </c>
      <c r="F368" s="3">
        <f t="shared" si="1"/>
        <v>1</v>
      </c>
      <c r="G368" s="6" t="s">
        <v>760</v>
      </c>
      <c r="H368" s="7" t="str">
        <f>IFERROR(__xludf.DUMMYFUNCTION("AI(""Write a short product description under 300 characters for "" &amp; A368 &amp; "" in the "" &amp; B368 &amp; "" category"")"),"Start your day with the world's favorite instant coffee. Nescafe Classic 180g offers a signature bold flavor and rich aroma made from medium-dark roasted Robusta beans. Perfectly ground to deliver a smooth, invigorating cup of 100% pure coffee to awaken y"&amp;"our senses every morning.")</f>
        <v>Start your day with the world's favorite instant coffee. Nescafe Classic 180g offers a signature bold flavor and rich aroma made from medium-dark roasted Robusta beans. Perfectly ground to deliver a smooth, invigorating cup of 100% pure coffee to awaken your senses every morning.</v>
      </c>
    </row>
    <row r="369">
      <c r="A369" s="9" t="s">
        <v>761</v>
      </c>
      <c r="B369" s="9" t="s">
        <v>9</v>
      </c>
      <c r="C369" s="9">
        <v>433.0</v>
      </c>
      <c r="D369" s="9">
        <v>475.0</v>
      </c>
      <c r="E369" s="9">
        <v>2.0</v>
      </c>
      <c r="F369" s="3">
        <f t="shared" si="1"/>
        <v>1</v>
      </c>
      <c r="G369" s="6" t="s">
        <v>762</v>
      </c>
      <c r="H369" s="7" t="str">
        <f>IFERROR(__xludf.DUMMYFUNCTION("AI(""Write a short product description under 300 characters for "" &amp; A369 &amp; "" in the "" &amp; B369 &amp; "" category"")"),"Start your morning with the rich taste and irresistible aroma of Nescafe Classic. Made from 100% pure, carefully selected coffee beans, this medium-dark roast delivers a full-bodied flavor. Perfect for a quick, energizing cup at home or the office, this 9"&amp;"0g jar locks in freshness and aroma.")</f>
        <v>Start your morning with the rich taste and irresistible aroma of Nescafe Classic. Made from 100% pure, carefully selected coffee beans, this medium-dark roast delivers a full-bodied flavor. Perfect for a quick, energizing cup at home or the office, this 90g jar locks in freshness and aroma.</v>
      </c>
    </row>
    <row r="370">
      <c r="A370" s="9" t="s">
        <v>763</v>
      </c>
      <c r="B370" s="9" t="s">
        <v>9</v>
      </c>
      <c r="C370" s="9">
        <v>17.0</v>
      </c>
      <c r="D370" s="9">
        <v>20.0</v>
      </c>
      <c r="E370" s="9">
        <v>24.0</v>
      </c>
      <c r="F370" s="3">
        <f t="shared" si="1"/>
        <v>12</v>
      </c>
      <c r="G370" s="6" t="s">
        <v>764</v>
      </c>
      <c r="H370" s="7" t="str">
        <f>IFERROR(__xludf.DUMMYFUNCTION("AI(""Write a short product description under 300 characters for "" &amp; A370 &amp; "" in the "" &amp; B370 &amp; "" category"")"),"Enjoy the perfect instant indulgence with Nescafe Creamy Latte. This 18g sachet features a smooth blend of coffee, creamer, and a touch of sweetness, creating a rich, frothy latte in seconds. Simply add hot water for a delicious, comforting coffee moment "&amp;"anytime, anywhere.")</f>
        <v>Enjoy the perfect instant indulgence with Nescafe Creamy Latte. This 18g sachet features a smooth blend of coffee, creamer, and a touch of sweetness, creating a rich, frothy latte in seconds. Simply add hot water for a delicious, comforting coffee moment anytime, anywhere.</v>
      </c>
    </row>
    <row r="371">
      <c r="A371" s="9" t="s">
        <v>765</v>
      </c>
      <c r="B371" s="9" t="s">
        <v>9</v>
      </c>
      <c r="C371" s="9">
        <v>254.0</v>
      </c>
      <c r="D371" s="9">
        <v>275.0</v>
      </c>
      <c r="E371" s="9">
        <v>3.0</v>
      </c>
      <c r="F371" s="3">
        <f t="shared" si="1"/>
        <v>1.5</v>
      </c>
      <c r="G371" s="6" t="s">
        <v>766</v>
      </c>
      <c r="H371" s="7" t="str">
        <f>IFERROR(__xludf.DUMMYFUNCTION("AI(""Write a short product description under 300 characters for "" &amp; A371 &amp; "" in the "" &amp; B371 &amp; "" category"")"),"Experience the rich, bold flavor and signature aroma of Nescafe Classic. Made from expertly roasted Arabica and Robusta beans, this 45g jar offers a smooth, full-bodied instant coffee that dissolves quickly for a perfect cup every morning. Enjoy pure, ene"&amp;"rgizing coffee in every sip.")</f>
        <v>Experience the rich, bold flavor and signature aroma of Nescafe Classic. Made from expertly roasted Arabica and Robusta beans, this 45g jar offers a smooth, full-bodied instant coffee that dissolves quickly for a perfect cup every morning. Enjoy pure, energizing coffee in every sip.</v>
      </c>
    </row>
    <row r="372">
      <c r="A372" s="9" t="s">
        <v>767</v>
      </c>
      <c r="B372" s="9" t="s">
        <v>9</v>
      </c>
      <c r="C372" s="9">
        <v>4.5</v>
      </c>
      <c r="D372" s="9">
        <v>5.0</v>
      </c>
      <c r="E372" s="9">
        <v>120.0</v>
      </c>
      <c r="F372" s="3">
        <f t="shared" si="1"/>
        <v>60</v>
      </c>
      <c r="G372" s="6" t="s">
        <v>768</v>
      </c>
      <c r="H372" s="7" t="str">
        <f>IFERROR(__xludf.DUMMYFUNCTION("AI(""Write a short product description under 300 characters for "" &amp; A372 &amp; "" in the "" &amp; B372 &amp; "" category"")"),"Awaken your senses with Nescafe Classic 0.9g Sachet. Made from 100% pure, slow-roasted coffee beans, this single-serve pack delivers a rich, bold aroma and full-bodied flavor. Perfect for a quick, energizing cup at home, work, or on the go. Simply add hot"&amp;" water and enjoy.")</f>
        <v>Awaken your senses with Nescafe Classic 0.9g Sachet. Made from 100% pure, slow-roasted coffee beans, this single-serve pack delivers a rich, bold aroma and full-bodied flavor. Perfect for a quick, energizing cup at home, work, or on the go. Simply add hot water and enjoy.</v>
      </c>
    </row>
    <row r="373">
      <c r="A373" s="9" t="s">
        <v>769</v>
      </c>
      <c r="B373" s="9" t="s">
        <v>9</v>
      </c>
      <c r="C373" s="9">
        <v>0.0</v>
      </c>
      <c r="D373" s="9">
        <v>15.0</v>
      </c>
      <c r="E373" s="9">
        <v>12.0</v>
      </c>
      <c r="F373" s="3">
        <f t="shared" si="1"/>
        <v>6</v>
      </c>
      <c r="G373" s="6" t="s">
        <v>770</v>
      </c>
      <c r="H373" s="7" t="str">
        <f>IFERROR(__xludf.DUMMYFUNCTION("AI(""Write a short product description under 300 characters for "" &amp; A373 &amp; "" in the "" &amp; B373 &amp; "" category"")"),"Experience the perfect balance of coffee, chicory, creamer, and sugar in one convenient 10g sachet. NESCAFÉ Sunrise 3-in-1 delivers a smooth, frothy, and milky cup with a rich aroma. Just add hot water for a consistent, cafe-style coffee experience instan"&amp;"tly, anywhere you go.")</f>
        <v>Experience the perfect balance of coffee, chicory, creamer, and sugar in one convenient 10g sachet. NESCAFÉ Sunrise 3-in-1 delivers a smooth, frothy, and milky cup with a rich aroma. Just add hot water for a consistent, cafe-style coffee experience instantly, anywhere you go.</v>
      </c>
    </row>
    <row r="374">
      <c r="A374" s="9" t="s">
        <v>771</v>
      </c>
      <c r="B374" s="9" t="s">
        <v>9</v>
      </c>
      <c r="C374" s="9">
        <v>9.0</v>
      </c>
      <c r="D374" s="9">
        <v>15.0</v>
      </c>
      <c r="E374" s="9">
        <v>24.0</v>
      </c>
      <c r="F374" s="3">
        <f t="shared" si="1"/>
        <v>12</v>
      </c>
      <c r="G374" s="6" t="s">
        <v>772</v>
      </c>
      <c r="H374" s="7" t="str">
        <f>IFERROR(__xludf.DUMMYFUNCTION("AI(""Write a short product description under 300 characters for "" &amp; A374 &amp; "" in the "" &amp; B374 &amp; "" category"")"),"Kickstart your morning with Nescafe Sunrise 3in1. This 10g sachet features a fine blend of coffee and chicory, expertly balanced with creamer and sugar for a rich, aromatic, and creamy cup. Enjoy a captivating and convenient coffee experience instantly, p"&amp;"erfect for a quick daily boost.")</f>
        <v>Kickstart your morning with Nescafe Sunrise 3in1. This 10g sachet features a fine blend of coffee and chicory, expertly balanced with creamer and sugar for a rich, aromatic, and creamy cup. Enjoy a captivating and convenient coffee experience instantly, perfect for a quick daily boost.</v>
      </c>
    </row>
    <row r="375">
      <c r="A375" s="9" t="s">
        <v>773</v>
      </c>
      <c r="B375" s="9" t="s">
        <v>9</v>
      </c>
      <c r="C375" s="9">
        <v>17.0</v>
      </c>
      <c r="D375" s="9">
        <v>20.0</v>
      </c>
      <c r="E375" s="9">
        <v>12.0</v>
      </c>
      <c r="F375" s="3">
        <f t="shared" si="1"/>
        <v>6</v>
      </c>
      <c r="G375" s="6" t="s">
        <v>774</v>
      </c>
      <c r="H375" s="7" t="str">
        <f>IFERROR(__xludf.DUMMYFUNCTION("AI(""Write a short product description under 300 characters for "" &amp; A375 &amp; "" in the "" &amp; B375 &amp; "" category"")"),"Enjoy a refreshingly crisp break with Nestea Ice Tea. This 18g pack offers a perfect balance of premium tea extracts and tangy citrus flavor. Just mix with water for an instant, delicious drink that rejuvenates your day. A simple, sweet pleasure for any t"&amp;"ime, anywhere.")</f>
        <v>Enjoy a refreshingly crisp break with Nestea Ice Tea. This 18g pack offers a perfect balance of premium tea extracts and tangy citrus flavor. Just mix with water for an instant, delicious drink that rejuvenates your day. A simple, sweet pleasure for any time, anywhere.</v>
      </c>
    </row>
    <row r="376">
      <c r="G376" s="6"/>
      <c r="H376" s="7"/>
    </row>
    <row r="377">
      <c r="H377" s="7"/>
    </row>
    <row r="378">
      <c r="H378" s="7"/>
    </row>
    <row r="379">
      <c r="H379" s="7"/>
    </row>
    <row r="380">
      <c r="H380" s="7"/>
    </row>
    <row r="381">
      <c r="H381" s="7"/>
    </row>
    <row r="382">
      <c r="H382" s="7"/>
    </row>
    <row r="383">
      <c r="H383" s="7"/>
    </row>
    <row r="384">
      <c r="H384" s="7"/>
    </row>
    <row r="385">
      <c r="H385" s="7"/>
    </row>
    <row r="386">
      <c r="H386" s="7"/>
    </row>
    <row r="387">
      <c r="H387" s="7"/>
    </row>
    <row r="388">
      <c r="H388" s="7"/>
    </row>
    <row r="389">
      <c r="H389" s="7"/>
    </row>
    <row r="390">
      <c r="H390" s="7"/>
    </row>
    <row r="391">
      <c r="H391" s="7"/>
    </row>
    <row r="392">
      <c r="H392" s="7"/>
    </row>
    <row r="393">
      <c r="H393" s="7"/>
    </row>
    <row r="394">
      <c r="H394" s="7"/>
    </row>
    <row r="395">
      <c r="H395" s="7"/>
    </row>
    <row r="396">
      <c r="H396" s="7"/>
    </row>
    <row r="397">
      <c r="H397" s="7"/>
    </row>
    <row r="398">
      <c r="H398" s="7"/>
    </row>
    <row r="399">
      <c r="H399" s="7"/>
    </row>
    <row r="400">
      <c r="H400" s="7"/>
    </row>
    <row r="401">
      <c r="H401" s="7"/>
    </row>
    <row r="402">
      <c r="H402" s="7"/>
    </row>
    <row r="403">
      <c r="H403" s="7"/>
    </row>
    <row r="404">
      <c r="H404" s="7"/>
    </row>
    <row r="405">
      <c r="H405" s="7"/>
    </row>
    <row r="406">
      <c r="H406" s="7"/>
    </row>
    <row r="407">
      <c r="H407" s="7"/>
    </row>
    <row r="408">
      <c r="H408" s="7"/>
    </row>
    <row r="409">
      <c r="H409" s="7"/>
    </row>
    <row r="410">
      <c r="H410" s="7"/>
    </row>
    <row r="411">
      <c r="H411" s="7"/>
    </row>
    <row r="412">
      <c r="H412" s="7"/>
    </row>
    <row r="413">
      <c r="H413" s="7"/>
    </row>
    <row r="414">
      <c r="H414" s="7"/>
    </row>
    <row r="415">
      <c r="H415" s="7"/>
    </row>
    <row r="416">
      <c r="H416" s="7"/>
    </row>
    <row r="417">
      <c r="H417" s="7"/>
    </row>
    <row r="418">
      <c r="H418" s="7"/>
    </row>
    <row r="419">
      <c r="H419" s="7"/>
    </row>
    <row r="420">
      <c r="H420" s="7"/>
    </row>
    <row r="421">
      <c r="H421" s="7"/>
    </row>
    <row r="422">
      <c r="H422" s="7"/>
    </row>
    <row r="423">
      <c r="H423" s="7"/>
    </row>
    <row r="424">
      <c r="H424" s="7"/>
    </row>
    <row r="425">
      <c r="H425" s="7"/>
    </row>
    <row r="426">
      <c r="H426" s="7"/>
    </row>
    <row r="427">
      <c r="H427" s="7"/>
    </row>
    <row r="428">
      <c r="H428" s="7"/>
    </row>
    <row r="429">
      <c r="H429" s="7"/>
    </row>
    <row r="430">
      <c r="H430" s="7"/>
    </row>
    <row r="431">
      <c r="H431" s="7"/>
    </row>
    <row r="432">
      <c r="H432" s="7"/>
    </row>
    <row r="433">
      <c r="H433" s="7"/>
    </row>
    <row r="434">
      <c r="H434" s="7"/>
    </row>
    <row r="435">
      <c r="H435" s="7"/>
    </row>
    <row r="436">
      <c r="H436" s="7"/>
    </row>
    <row r="437">
      <c r="H437" s="7"/>
    </row>
    <row r="438">
      <c r="H438" s="7"/>
    </row>
    <row r="439">
      <c r="H439" s="7"/>
    </row>
    <row r="440">
      <c r="H440" s="7"/>
    </row>
    <row r="441">
      <c r="H441" s="7"/>
    </row>
    <row r="442">
      <c r="H442" s="7"/>
    </row>
    <row r="443">
      <c r="H443" s="7"/>
    </row>
    <row r="444">
      <c r="H444" s="7"/>
    </row>
    <row r="445">
      <c r="H445" s="7"/>
    </row>
    <row r="446">
      <c r="H446" s="7"/>
    </row>
    <row r="447">
      <c r="H447" s="7"/>
    </row>
    <row r="448">
      <c r="H448" s="7"/>
    </row>
    <row r="449">
      <c r="H449" s="7"/>
    </row>
    <row r="450">
      <c r="H450" s="7"/>
    </row>
    <row r="451">
      <c r="H451" s="7"/>
    </row>
    <row r="452">
      <c r="H452" s="7"/>
    </row>
    <row r="453">
      <c r="H453" s="7"/>
    </row>
    <row r="454">
      <c r="H454" s="7"/>
    </row>
    <row r="455">
      <c r="H455" s="7"/>
    </row>
    <row r="456">
      <c r="H456" s="7"/>
    </row>
    <row r="457">
      <c r="H457" s="7"/>
    </row>
    <row r="458">
      <c r="H458" s="7"/>
    </row>
    <row r="459">
      <c r="H459" s="7"/>
    </row>
    <row r="460">
      <c r="H460" s="7"/>
    </row>
    <row r="461">
      <c r="H461" s="7"/>
    </row>
    <row r="462">
      <c r="H462" s="7"/>
    </row>
    <row r="463">
      <c r="H463" s="7"/>
    </row>
    <row r="464">
      <c r="H464" s="7"/>
    </row>
    <row r="465">
      <c r="H465" s="7"/>
    </row>
    <row r="466">
      <c r="H466" s="7"/>
    </row>
    <row r="467">
      <c r="H467" s="7"/>
    </row>
    <row r="468">
      <c r="H468" s="7"/>
    </row>
    <row r="469">
      <c r="H469" s="7"/>
    </row>
    <row r="470">
      <c r="H470" s="7"/>
    </row>
    <row r="471">
      <c r="H471" s="7"/>
    </row>
    <row r="472">
      <c r="H472" s="7"/>
    </row>
    <row r="473">
      <c r="H473" s="7"/>
    </row>
    <row r="474">
      <c r="H474" s="7"/>
    </row>
    <row r="475">
      <c r="H475" s="7"/>
    </row>
    <row r="476">
      <c r="H476" s="7"/>
    </row>
    <row r="477">
      <c r="H477" s="7"/>
    </row>
    <row r="478">
      <c r="H478" s="7"/>
    </row>
    <row r="479">
      <c r="H479" s="7"/>
    </row>
    <row r="480">
      <c r="H480" s="7"/>
    </row>
    <row r="481">
      <c r="H481" s="7"/>
    </row>
    <row r="482">
      <c r="H482" s="7"/>
    </row>
    <row r="483">
      <c r="H483" s="7"/>
    </row>
    <row r="484">
      <c r="H484" s="7"/>
    </row>
    <row r="485">
      <c r="H485" s="7"/>
    </row>
    <row r="486">
      <c r="H486" s="7"/>
    </row>
    <row r="487">
      <c r="H487" s="7"/>
    </row>
    <row r="488">
      <c r="H488" s="7"/>
    </row>
    <row r="489">
      <c r="H489" s="7"/>
    </row>
    <row r="490">
      <c r="H490" s="7"/>
    </row>
    <row r="491">
      <c r="H491" s="7"/>
    </row>
    <row r="492">
      <c r="H492" s="7"/>
    </row>
    <row r="493">
      <c r="H493" s="7"/>
    </row>
    <row r="494">
      <c r="H494" s="7"/>
    </row>
    <row r="495">
      <c r="H495" s="7"/>
    </row>
    <row r="496">
      <c r="H496" s="7"/>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sheetData>
  <drawing r:id="rId1"/>
</worksheet>
</file>